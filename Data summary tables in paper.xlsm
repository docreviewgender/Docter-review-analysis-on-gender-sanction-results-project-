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08"/>
  <workbookPr defaultThemeVersion="166925"/>
  <mc:AlternateContent xmlns:mc="http://schemas.openxmlformats.org/markup-compatibility/2006">
    <mc:Choice Requires="x15">
      <x15ac:absPath xmlns:x15ac="http://schemas.microsoft.com/office/spreadsheetml/2010/11/ac" url="/Users/chongchen/Desktop/19Fall RA/"/>
    </mc:Choice>
  </mc:AlternateContent>
  <xr:revisionPtr revIDLastSave="0" documentId="13_ncr:1_{826BD76C-9BD3-AE44-BBDD-0EE8BF72EDCA}" xr6:coauthVersionLast="45" xr6:coauthVersionMax="45" xr10:uidLastSave="{00000000-0000-0000-0000-000000000000}"/>
  <bookViews>
    <workbookView xWindow="0" yWindow="0" windowWidth="38400" windowHeight="21600" activeTab="1" xr2:uid="{00000000-000D-0000-FFFF-FFFF00000000}"/>
  </bookViews>
  <sheets>
    <sheet name="summary" sheetId="1" r:id="rId1"/>
    <sheet name="santion percentage by specialty" sheetId="13" r:id="rId2"/>
    <sheet name="Analysis" sheetId="2" r:id="rId3"/>
    <sheet name="emotion score 1" sheetId="3" r:id="rId4"/>
    <sheet name="emotion score 2" sheetId="4" r:id="rId5"/>
    <sheet name="final table of emotion score" sheetId="5" r:id="rId6"/>
    <sheet name="Sheet5" sheetId="6" r:id="rId7"/>
    <sheet name="Sheet6" sheetId="7" r:id="rId8"/>
    <sheet name="Sheet1" sheetId="8" r:id="rId9"/>
    <sheet name="Sheet2" sheetId="9" r:id="rId10"/>
    <sheet name="Sheet3" sheetId="10" r:id="rId11"/>
    <sheet name="Sheet4" sheetId="11" r:id="rId12"/>
    <sheet name="Sheet7" sheetId="12" r:id="rId13"/>
    <sheet name="doc2vec_gender" sheetId="14" r:id="rId14"/>
    <sheet name="doc2vec_sanction" sheetId="16" r:id="rId15"/>
    <sheet name="doc2vec_gender&amp;sanction" sheetId="15" r:id="rId16"/>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5" i="13" l="1"/>
  <c r="F6" i="13"/>
  <c r="F7" i="13"/>
  <c r="F8" i="13"/>
  <c r="F9" i="13"/>
  <c r="F10" i="13"/>
  <c r="F11" i="13"/>
  <c r="F12" i="13"/>
  <c r="F13" i="13"/>
  <c r="F14" i="13"/>
  <c r="F15" i="13"/>
  <c r="F16" i="13"/>
  <c r="F17" i="13"/>
  <c r="F18" i="13"/>
  <c r="F19" i="13"/>
  <c r="F20" i="13"/>
  <c r="F21" i="13"/>
  <c r="F22" i="13"/>
  <c r="F23" i="13"/>
  <c r="F24" i="13"/>
  <c r="F25" i="13"/>
  <c r="F4" i="13"/>
</calcChain>
</file>

<file path=xl/sharedStrings.xml><?xml version="1.0" encoding="utf-8"?>
<sst xmlns="http://schemas.openxmlformats.org/spreadsheetml/2006/main" count="960" uniqueCount="486">
  <si>
    <t>mean</t>
  </si>
  <si>
    <t>std</t>
  </si>
  <si>
    <t>range</t>
  </si>
  <si>
    <t>[1,62]</t>
  </si>
  <si>
    <t>[1,68]</t>
  </si>
  <si>
    <t>[1,32]</t>
  </si>
  <si>
    <t>[1,5]</t>
  </si>
  <si>
    <t>[0.5,5]</t>
  </si>
  <si>
    <t>[0.14,5]</t>
  </si>
  <si>
    <t>[0.33,5]</t>
  </si>
  <si>
    <t>0.11,5]</t>
  </si>
  <si>
    <t>[0.11,5]</t>
  </si>
  <si>
    <t>[0.17,5]</t>
  </si>
  <si>
    <t>Number of Reviews</t>
  </si>
  <si>
    <t>Average Helpful</t>
  </si>
  <si>
    <t>Average Knowledge</t>
  </si>
  <si>
    <t>Average Punctual</t>
  </si>
  <si>
    <t>Averate Staff</t>
  </si>
  <si>
    <t>Unsanctioned doctors</t>
  </si>
  <si>
    <t>Sanctioned doctors</t>
  </si>
  <si>
    <t>Female doctors</t>
  </si>
  <si>
    <t>Male doctors</t>
  </si>
  <si>
    <t>Full sample</t>
  </si>
  <si>
    <r>
      <t>(</t>
    </r>
    <r>
      <rPr>
        <i/>
        <sz val="16"/>
        <color theme="1"/>
        <rFont val="Calibri"/>
        <family val="2"/>
        <scheme val="minor"/>
      </rPr>
      <t>n</t>
    </r>
    <r>
      <rPr>
        <sz val="16"/>
        <color theme="1"/>
        <rFont val="Calibri"/>
        <family val="2"/>
        <scheme val="minor"/>
      </rPr>
      <t>=39108)</t>
    </r>
  </si>
  <si>
    <r>
      <t>(</t>
    </r>
    <r>
      <rPr>
        <i/>
        <sz val="16"/>
        <color theme="1"/>
        <rFont val="Calibri"/>
        <family val="2"/>
        <scheme val="minor"/>
      </rPr>
      <t>n</t>
    </r>
    <r>
      <rPr>
        <sz val="16"/>
        <color theme="1"/>
        <rFont val="Calibri"/>
        <family val="2"/>
        <scheme val="minor"/>
      </rPr>
      <t>=95860)</t>
    </r>
  </si>
  <si>
    <r>
      <t>(</t>
    </r>
    <r>
      <rPr>
        <i/>
        <sz val="16"/>
        <color theme="1"/>
        <rFont val="Calibri"/>
        <family val="2"/>
        <scheme val="minor"/>
      </rPr>
      <t>N</t>
    </r>
    <r>
      <rPr>
        <sz val="16"/>
        <color theme="1"/>
        <rFont val="Calibri"/>
        <family val="2"/>
        <scheme val="minor"/>
      </rPr>
      <t>=134968)</t>
    </r>
  </si>
  <si>
    <r>
      <t>(</t>
    </r>
    <r>
      <rPr>
        <i/>
        <sz val="16"/>
        <color theme="1"/>
        <rFont val="Calibri"/>
        <family val="2"/>
        <scheme val="minor"/>
      </rPr>
      <t>n</t>
    </r>
    <r>
      <rPr>
        <sz val="16"/>
        <color theme="1"/>
        <rFont val="Calibri"/>
        <family val="2"/>
        <scheme val="minor"/>
      </rPr>
      <t>=38858)</t>
    </r>
  </si>
  <si>
    <r>
      <t>(</t>
    </r>
    <r>
      <rPr>
        <i/>
        <sz val="16"/>
        <color theme="1"/>
        <rFont val="Calibri"/>
        <family val="2"/>
        <scheme val="minor"/>
      </rPr>
      <t>n</t>
    </r>
    <r>
      <rPr>
        <sz val="16"/>
        <color theme="1"/>
        <rFont val="Calibri"/>
        <family val="2"/>
        <scheme val="minor"/>
      </rPr>
      <t>=250)</t>
    </r>
  </si>
  <si>
    <r>
      <t>(</t>
    </r>
    <r>
      <rPr>
        <i/>
        <sz val="16"/>
        <color theme="1"/>
        <rFont val="Calibri"/>
        <family val="2"/>
        <scheme val="minor"/>
      </rPr>
      <t>n</t>
    </r>
    <r>
      <rPr>
        <sz val="16"/>
        <color theme="1"/>
        <rFont val="Calibri"/>
        <family val="2"/>
        <scheme val="minor"/>
      </rPr>
      <t>=94742)</t>
    </r>
  </si>
  <si>
    <r>
      <t>(</t>
    </r>
    <r>
      <rPr>
        <i/>
        <sz val="16"/>
        <color theme="1"/>
        <rFont val="Calibri"/>
        <family val="2"/>
        <scheme val="minor"/>
      </rPr>
      <t>n</t>
    </r>
    <r>
      <rPr>
        <sz val="16"/>
        <color theme="1"/>
        <rFont val="Calibri"/>
        <family val="2"/>
        <scheme val="minor"/>
      </rPr>
      <t>=1118)</t>
    </r>
  </si>
  <si>
    <t>avg_help</t>
  </si>
  <si>
    <t>avg_know</t>
  </si>
  <si>
    <t>avg_punct</t>
  </si>
  <si>
    <t>avg_staff</t>
  </si>
  <si>
    <t>F</t>
  </si>
  <si>
    <t>M</t>
  </si>
  <si>
    <r>
      <rPr>
        <b/>
        <sz val="14"/>
        <color theme="1"/>
        <rFont val="Calibri (Body)"/>
      </rPr>
      <t>Table:</t>
    </r>
    <r>
      <rPr>
        <sz val="14"/>
        <color theme="1"/>
        <rFont val="Calibri (Body)"/>
      </rPr>
      <t xml:space="preserve"> Average rating by gender for all specialties.</t>
    </r>
  </si>
  <si>
    <r>
      <rPr>
        <b/>
        <sz val="14"/>
        <color theme="1"/>
        <rFont val="Calibri (Body)"/>
      </rPr>
      <t>Table:</t>
    </r>
    <r>
      <rPr>
        <sz val="14"/>
        <color theme="1"/>
        <rFont val="Calibri (Body)"/>
      </rPr>
      <t xml:space="preserve"> Average rating by gender for Internal Medicine.</t>
    </r>
  </si>
  <si>
    <t>" I love this doctor! She is very warm and takes her time to answer questions. She's in an office with many doctors, and I am usually glad when she's the doctor on call. "</t>
  </si>
  <si>
    <t xml:space="preserve"> " She's really nice and helpful. She takes time to listen to what's going on in order to come up with the best solution. I really like her! "</t>
  </si>
  <si>
    <t>"Very clean offices, friendly and informative staff "</t>
  </si>
  <si>
    <t>Number of words</t>
  </si>
  <si>
    <t>Review</t>
  </si>
  <si>
    <t>hp_id</t>
  </si>
  <si>
    <t>Final Score</t>
  </si>
  <si>
    <t>FamilyPractice</t>
  </si>
  <si>
    <t>review_count</t>
  </si>
  <si>
    <t>avg_length</t>
  </si>
  <si>
    <t>Anger Score</t>
  </si>
  <si>
    <t>Anticipation Score</t>
  </si>
  <si>
    <t>Anticipation words</t>
  </si>
  <si>
    <t>Disgust score</t>
  </si>
  <si>
    <t>Fear score</t>
  </si>
  <si>
    <t>Joy</t>
  </si>
  <si>
    <t>Joy words</t>
  </si>
  <si>
    <t>Negative</t>
  </si>
  <si>
    <t>Positive</t>
  </si>
  <si>
    <t>Positive words</t>
  </si>
  <si>
    <t>Sadness</t>
  </si>
  <si>
    <t>Surprise</t>
  </si>
  <si>
    <t>Trust</t>
  </si>
  <si>
    <t>Trust words</t>
  </si>
  <si>
    <t>Joy score</t>
  </si>
  <si>
    <t>Negative score</t>
  </si>
  <si>
    <t>Positive score</t>
  </si>
  <si>
    <t>Sadness score</t>
  </si>
  <si>
    <t>Surprise score</t>
  </si>
  <si>
    <t>Trust score</t>
  </si>
  <si>
    <t>Anger words</t>
  </si>
  <si>
    <t>Disgust words</t>
  </si>
  <si>
    <t>Fear words</t>
  </si>
  <si>
    <t>Negative words</t>
  </si>
  <si>
    <t>Sadness words</t>
  </si>
  <si>
    <t>Surprise words</t>
  </si>
  <si>
    <t>--</t>
  </si>
  <si>
    <t xml:space="preserve"> friendly (+1) </t>
  </si>
  <si>
    <t>time, glad (+2)</t>
  </si>
  <si>
    <t>time (+1)</t>
  </si>
  <si>
    <t>clean, friendly (+2)</t>
  </si>
  <si>
    <t>love, glad (+2)</t>
  </si>
  <si>
    <t>helpful (+1)</t>
  </si>
  <si>
    <t>love, doctor, glad, doctor (+4)</t>
  </si>
  <si>
    <t>helpful, solution (+2)</t>
  </si>
  <si>
    <t>doctor, doctor (+2)</t>
  </si>
  <si>
    <t>Review 1</t>
  </si>
  <si>
    <t>Review 2</t>
  </si>
  <si>
    <t>Review 3</t>
  </si>
  <si>
    <t>Note: Final score = sum(emotion score)/number of reviews, eg, for anticipation score: final score = (0.14+0.06+0.04)/3</t>
  </si>
  <si>
    <t>InternalMedicine</t>
  </si>
  <si>
    <t>OrthopaedicSurgery</t>
  </si>
  <si>
    <t>Dermatology</t>
  </si>
  <si>
    <t>Specialty</t>
  </si>
  <si>
    <t>Gender</t>
  </si>
  <si>
    <t>Sanction</t>
  </si>
  <si>
    <t>Anger</t>
  </si>
  <si>
    <t>Anticipation</t>
  </si>
  <si>
    <t>Disgust</t>
  </si>
  <si>
    <t>Fear</t>
  </si>
  <si>
    <t>Doctor ID</t>
  </si>
  <si>
    <t>​</t>
  </si>
  <si>
    <r>
      <rPr>
        <b/>
        <sz val="14"/>
        <color theme="1"/>
        <rFont val="Calibri"/>
        <family val="2"/>
        <scheme val="minor"/>
      </rPr>
      <t>Table:</t>
    </r>
    <r>
      <rPr>
        <sz val="14"/>
        <color theme="1"/>
        <rFont val="Calibri"/>
        <family val="2"/>
        <scheme val="minor"/>
      </rPr>
      <t xml:space="preserve"> Average emotion score by gender for all specialities</t>
    </r>
  </si>
  <si>
    <r>
      <rPr>
        <b/>
        <sz val="14"/>
        <color theme="1"/>
        <rFont val="Calibri"/>
        <family val="2"/>
        <scheme val="minor"/>
      </rPr>
      <t>Table:</t>
    </r>
    <r>
      <rPr>
        <sz val="14"/>
        <color theme="1"/>
        <rFont val="Calibri"/>
        <family val="2"/>
        <scheme val="minor"/>
      </rPr>
      <t xml:space="preserve"> Final emotion score of each doctor</t>
    </r>
  </si>
  <si>
    <r>
      <rPr>
        <b/>
        <sz val="14"/>
        <color theme="1"/>
        <rFont val="Calibri"/>
        <family val="2"/>
        <scheme val="minor"/>
      </rPr>
      <t>Table:</t>
    </r>
    <r>
      <rPr>
        <sz val="14"/>
        <color theme="1"/>
        <rFont val="Calibri"/>
        <family val="2"/>
        <scheme val="minor"/>
      </rPr>
      <t xml:space="preserve"> Calculation of emotion score, emotion score = score from the above table / number of rotal words</t>
    </r>
  </si>
  <si>
    <r>
      <rPr>
        <b/>
        <sz val="14"/>
        <color theme="1"/>
        <rFont val="Calibri"/>
        <family val="2"/>
        <scheme val="minor"/>
      </rPr>
      <t xml:space="preserve">Table: </t>
    </r>
    <r>
      <rPr>
        <sz val="14"/>
        <color theme="1"/>
        <rFont val="Calibri"/>
        <family val="2"/>
        <scheme val="minor"/>
      </rPr>
      <t>Emotion words in each review, one word = 1 score</t>
    </r>
  </si>
  <si>
    <r>
      <rPr>
        <b/>
        <sz val="14"/>
        <color theme="1"/>
        <rFont val="Calibri"/>
        <family val="2"/>
        <scheme val="minor"/>
      </rPr>
      <t>Table:</t>
    </r>
    <r>
      <rPr>
        <sz val="14"/>
        <color theme="1"/>
        <rFont val="Calibri"/>
        <family val="2"/>
        <scheme val="minor"/>
      </rPr>
      <t xml:space="preserve"> Average emotion score by gender for Internal Medicine</t>
    </r>
  </si>
  <si>
    <r>
      <rPr>
        <b/>
        <sz val="14"/>
        <color theme="1"/>
        <rFont val="Calibri"/>
        <family val="2"/>
        <scheme val="minor"/>
      </rPr>
      <t>Table:</t>
    </r>
    <r>
      <rPr>
        <sz val="14"/>
        <color theme="1"/>
        <rFont val="Calibri"/>
        <family val="2"/>
        <scheme val="minor"/>
      </rPr>
      <t xml:space="preserve"> Average rating comparison between gender and sanction for all specialties.</t>
    </r>
  </si>
  <si>
    <r>
      <rPr>
        <b/>
        <sz val="14"/>
        <color theme="1"/>
        <rFont val="Calibri"/>
        <family val="2"/>
        <scheme val="minor"/>
      </rPr>
      <t>Table:</t>
    </r>
    <r>
      <rPr>
        <sz val="14"/>
        <color theme="1"/>
        <rFont val="Calibri"/>
        <family val="2"/>
        <scheme val="minor"/>
      </rPr>
      <t xml:space="preserve"> Average rating comparison between gender and sanction for Internal Medicine.</t>
    </r>
  </si>
  <si>
    <t>procedure</t>
  </si>
  <si>
    <t>heart</t>
  </si>
  <si>
    <t>surgery</t>
  </si>
  <si>
    <t>saved</t>
  </si>
  <si>
    <t>hospital</t>
  </si>
  <si>
    <t>husband</t>
  </si>
  <si>
    <t>sense</t>
  </si>
  <si>
    <t>explains</t>
  </si>
  <si>
    <t>wife</t>
  </si>
  <si>
    <t>family</t>
  </si>
  <si>
    <t>outstanding</t>
  </si>
  <si>
    <t>excellent</t>
  </si>
  <si>
    <t>god</t>
  </si>
  <si>
    <t>disease</t>
  </si>
  <si>
    <t>explained</t>
  </si>
  <si>
    <t>explain</t>
  </si>
  <si>
    <t>life</t>
  </si>
  <si>
    <t>bedside</t>
  </si>
  <si>
    <t>old</t>
  </si>
  <si>
    <t>doc</t>
  </si>
  <si>
    <t>thank</t>
  </si>
  <si>
    <t>us</t>
  </si>
  <si>
    <t>case</t>
  </si>
  <si>
    <t>treatments</t>
  </si>
  <si>
    <t>great</t>
  </si>
  <si>
    <t>field</t>
  </si>
  <si>
    <t>manner</t>
  </si>
  <si>
    <t>treated</t>
  </si>
  <si>
    <t>personality</t>
  </si>
  <si>
    <t>situation</t>
  </si>
  <si>
    <t>help</t>
  </si>
  <si>
    <t>pressure</t>
  </si>
  <si>
    <t>away</t>
  </si>
  <si>
    <t>area</t>
  </si>
  <si>
    <t>service</t>
  </si>
  <si>
    <t>gets</t>
  </si>
  <si>
    <t>easy</t>
  </si>
  <si>
    <t>cold</t>
  </si>
  <si>
    <t>physical</t>
  </si>
  <si>
    <t>lab</t>
  </si>
  <si>
    <t>unprofessional</t>
  </si>
  <si>
    <t>comments</t>
  </si>
  <si>
    <t>prescription</t>
  </si>
  <si>
    <t>appt</t>
  </si>
  <si>
    <t>pcp</t>
  </si>
  <si>
    <t>exam</t>
  </si>
  <si>
    <t>love</t>
  </si>
  <si>
    <t>waited</t>
  </si>
  <si>
    <t>seemed</t>
  </si>
  <si>
    <t>receptionist</t>
  </si>
  <si>
    <t>listening</t>
  </si>
  <si>
    <t>appointment</t>
  </si>
  <si>
    <t>wasn</t>
  </si>
  <si>
    <t>thyroid</t>
  </si>
  <si>
    <t>changed</t>
  </si>
  <si>
    <t>left</t>
  </si>
  <si>
    <t>looking</t>
  </si>
  <si>
    <t>read</t>
  </si>
  <si>
    <t>results</t>
  </si>
  <si>
    <t>etc</t>
  </si>
  <si>
    <t>pay</t>
  </si>
  <si>
    <t>issues</t>
  </si>
  <si>
    <t>longer</t>
  </si>
  <si>
    <t>negative</t>
  </si>
  <si>
    <t>history</t>
  </si>
  <si>
    <t>terrible</t>
  </si>
  <si>
    <t>something</t>
  </si>
  <si>
    <t>today</t>
  </si>
  <si>
    <t>enough</t>
  </si>
  <si>
    <t>done</t>
  </si>
  <si>
    <t>talking</t>
  </si>
  <si>
    <t>awesome</t>
  </si>
  <si>
    <t>due</t>
  </si>
  <si>
    <t>Words</t>
  </si>
  <si>
    <t>Ratio</t>
  </si>
  <si>
    <t>Female &gt; Male</t>
  </si>
  <si>
    <t>Male  &gt; Female</t>
  </si>
  <si>
    <t>pa</t>
  </si>
  <si>
    <t>often</t>
  </si>
  <si>
    <t>lost</t>
  </si>
  <si>
    <t>won</t>
  </si>
  <si>
    <t>medications</t>
  </si>
  <si>
    <t>informed</t>
  </si>
  <si>
    <t>different</t>
  </si>
  <si>
    <t>rate</t>
  </si>
  <si>
    <t>week</t>
  </si>
  <si>
    <t>mother</t>
  </si>
  <si>
    <t>still</t>
  </si>
  <si>
    <t>full</t>
  </si>
  <si>
    <t>hours</t>
  </si>
  <si>
    <t>father</t>
  </si>
  <si>
    <t>yes</t>
  </si>
  <si>
    <t>sick</t>
  </si>
  <si>
    <t>reason</t>
  </si>
  <si>
    <t>long</t>
  </si>
  <si>
    <t>meds</t>
  </si>
  <si>
    <t>good</t>
  </si>
  <si>
    <t>asked</t>
  </si>
  <si>
    <t>diagnosis</t>
  </si>
  <si>
    <t>symptoms</t>
  </si>
  <si>
    <t>met</t>
  </si>
  <si>
    <t>spends</t>
  </si>
  <si>
    <t>tell</t>
  </si>
  <si>
    <t>highly</t>
  </si>
  <si>
    <t>knowledgable</t>
  </si>
  <si>
    <t>smart</t>
  </si>
  <si>
    <t>ask</t>
  </si>
  <si>
    <t>experience</t>
  </si>
  <si>
    <t>follow</t>
  </si>
  <si>
    <t>pleasant</t>
  </si>
  <si>
    <t>try</t>
  </si>
  <si>
    <t>minutes</t>
  </si>
  <si>
    <t>recommend</t>
  </si>
  <si>
    <t>found</t>
  </si>
  <si>
    <t>willing</t>
  </si>
  <si>
    <t>seem</t>
  </si>
  <si>
    <t>days</t>
  </si>
  <si>
    <t>lot</t>
  </si>
  <si>
    <t>happy</t>
  </si>
  <si>
    <t>comfortable</t>
  </si>
  <si>
    <t>primary</t>
  </si>
  <si>
    <t>front</t>
  </si>
  <si>
    <t>deal</t>
  </si>
  <si>
    <t>worst</t>
  </si>
  <si>
    <t>last</t>
  </si>
  <si>
    <t>far</t>
  </si>
  <si>
    <t>Sanction &gt; Not Sanction</t>
  </si>
  <si>
    <t>Not Sanction &gt; Sanction</t>
  </si>
  <si>
    <t>cares</t>
  </si>
  <si>
    <t>kind</t>
  </si>
  <si>
    <t>called</t>
  </si>
  <si>
    <t>nice</t>
  </si>
  <si>
    <t>came</t>
  </si>
  <si>
    <t>caring</t>
  </si>
  <si>
    <t>think</t>
  </si>
  <si>
    <t>helpful</t>
  </si>
  <si>
    <t>everyone</t>
  </si>
  <si>
    <t>listens</t>
  </si>
  <si>
    <t>takes</t>
  </si>
  <si>
    <t>blood</t>
  </si>
  <si>
    <t>attention</t>
  </si>
  <si>
    <t>ago</t>
  </si>
  <si>
    <t>hard</t>
  </si>
  <si>
    <t>things</t>
  </si>
  <si>
    <t>really</t>
  </si>
  <si>
    <t>instead</t>
  </si>
  <si>
    <t>refer</t>
  </si>
  <si>
    <t>visits</t>
  </si>
  <si>
    <t>test</t>
  </si>
  <si>
    <t>answers</t>
  </si>
  <si>
    <t>thing</t>
  </si>
  <si>
    <t>earth</t>
  </si>
  <si>
    <t>agree</t>
  </si>
  <si>
    <t>attitude</t>
  </si>
  <si>
    <t>practice</t>
  </si>
  <si>
    <t>records</t>
  </si>
  <si>
    <t>wanted</t>
  </si>
  <si>
    <t xml:space="preserve"> Female &gt; Male 
Words	Ratio
procedure	2.4014
heart	2.0727
surgery	1.9564
saved	1.8013
hospital	1.6692
husband	1.5738
sense	1.5127
explains	1.5080
wife	1.4729
family	1.4687
outstanding	1.4275
excellent	1.3879
god	1.3804
disease	1.3430
explained	1.3292
explain	1.3285
life	1.3197
bedside	1.3187
old	1.3162
doc	1.3082
thank	1.3024
us	1.2946
case	1.2925
treatments	1.2835
great	1.2798
field	1.2706
manner	1.2535
treated	1.2447
personality	1.2397
situation	1.2263</t>
  </si>
  <si>
    <t>assistant</t>
  </si>
  <si>
    <t>rushed</t>
  </si>
  <si>
    <t xml:space="preserve"> </t>
  </si>
  <si>
    <t>'great'</t>
  </si>
  <si>
    <t>'excellent'</t>
  </si>
  <si>
    <t>'amazing'</t>
  </si>
  <si>
    <t>'fantastic'</t>
  </si>
  <si>
    <t>'best'</t>
  </si>
  <si>
    <t>'outstanding'</t>
  </si>
  <si>
    <t>'kind'</t>
  </si>
  <si>
    <t>'love'</t>
  </si>
  <si>
    <t>'awesome'</t>
  </si>
  <si>
    <t>'caring'</t>
  </si>
  <si>
    <t>word2vec results</t>
  </si>
  <si>
    <t>'knowledgable'</t>
  </si>
  <si>
    <t>'knowlegable'</t>
  </si>
  <si>
    <t>'knowlegeable'</t>
  </si>
  <si>
    <t>'intelligent'</t>
  </si>
  <si>
    <t>'competent'</t>
  </si>
  <si>
    <t>'knowledgeble'</t>
  </si>
  <si>
    <t>'smart'</t>
  </si>
  <si>
    <t>'informative'</t>
  </si>
  <si>
    <t>'knowledge'</t>
  </si>
  <si>
    <t>'knowledable'</t>
  </si>
  <si>
    <t>'compassionate'</t>
  </si>
  <si>
    <t>'wonderful'</t>
  </si>
  <si>
    <t>'cares'</t>
  </si>
  <si>
    <t>'dedicated'</t>
  </si>
  <si>
    <t>'always'</t>
  </si>
  <si>
    <t>'unprofessional'</t>
  </si>
  <si>
    <t>'unfriendly'</t>
  </si>
  <si>
    <t>'rudest'</t>
  </si>
  <si>
    <t>'awful'</t>
  </si>
  <si>
    <t>'horrible'</t>
  </si>
  <si>
    <t>'nasty'</t>
  </si>
  <si>
    <t>'office'</t>
  </si>
  <si>
    <t>'incompetent'</t>
  </si>
  <si>
    <t>'worst'</t>
  </si>
  <si>
    <t>'unhelpful'</t>
  </si>
  <si>
    <t>Most similar words to 'wonderful'</t>
  </si>
  <si>
    <t>Most similar words to 'knowledgeable'</t>
  </si>
  <si>
    <t>Most similar words to 'caring'</t>
  </si>
  <si>
    <t>Most similar words to 'rude'</t>
  </si>
  <si>
    <t>Similarity score</t>
  </si>
  <si>
    <t>Allergy and Immunology</t>
  </si>
  <si>
    <t>Anesthesiology</t>
  </si>
  <si>
    <t>Emergency Medicine</t>
  </si>
  <si>
    <t>Family Practice</t>
  </si>
  <si>
    <t>Internal Medicine</t>
  </si>
  <si>
    <t>Neurological Surgery</t>
  </si>
  <si>
    <t>Obstetrics and Gynecology</t>
  </si>
  <si>
    <t>Ophthalmology</t>
  </si>
  <si>
    <t>Orthopaedic Surgery</t>
  </si>
  <si>
    <t>Otolaryngology</t>
  </si>
  <si>
    <t>Pathology</t>
  </si>
  <si>
    <t>Pediatrics</t>
  </si>
  <si>
    <t>Physical Medicine and Rehabilitation</t>
  </si>
  <si>
    <t>Plastic Surgery</t>
  </si>
  <si>
    <t>Preventive Medicine</t>
  </si>
  <si>
    <t>Psychiatry and Neurology</t>
  </si>
  <si>
    <t>Radiology</t>
  </si>
  <si>
    <t>Surgery</t>
  </si>
  <si>
    <t>Thoracic Surgery</t>
  </si>
  <si>
    <t>UNKNOWN</t>
  </si>
  <si>
    <t>Urology</t>
  </si>
  <si>
    <r>
      <rPr>
        <b/>
        <sz val="14"/>
        <color theme="1"/>
        <rFont val="Calibri"/>
        <family val="2"/>
        <scheme val="minor"/>
      </rPr>
      <t>Table:</t>
    </r>
    <r>
      <rPr>
        <sz val="14"/>
        <color theme="1"/>
        <rFont val="Calibri"/>
        <family val="2"/>
        <scheme val="minor"/>
      </rPr>
      <t xml:space="preserve"> Percent sanctions by specialty</t>
    </r>
  </si>
  <si>
    <t xml:space="preserve">words </t>
  </si>
  <si>
    <t>woman</t>
  </si>
  <si>
    <t>asks</t>
  </si>
  <si>
    <t>twice</t>
  </si>
  <si>
    <t>switched</t>
  </si>
  <si>
    <t>notvery</t>
  </si>
  <si>
    <t>referrals</t>
  </si>
  <si>
    <t>generally</t>
  </si>
  <si>
    <t>refers</t>
  </si>
  <si>
    <t>notbe</t>
  </si>
  <si>
    <t>desk</t>
  </si>
  <si>
    <t>rush</t>
  </si>
  <si>
    <t>concerns</t>
  </si>
  <si>
    <t>appointments</t>
  </si>
  <si>
    <t>leave</t>
  </si>
  <si>
    <t>usually</t>
  </si>
  <si>
    <t>finally</t>
  </si>
  <si>
    <t>spend</t>
  </si>
  <si>
    <t>health</t>
  </si>
  <si>
    <t>feeling</t>
  </si>
  <si>
    <t>empathetic</t>
  </si>
  <si>
    <t>personal</t>
  </si>
  <si>
    <t>important</t>
  </si>
  <si>
    <t>similarity_score_m</t>
  </si>
  <si>
    <t>guy</t>
  </si>
  <si>
    <t>skilled</t>
  </si>
  <si>
    <t>gentle</t>
  </si>
  <si>
    <t>procedures</t>
  </si>
  <si>
    <t>cardiologist</t>
  </si>
  <si>
    <t>opinion</t>
  </si>
  <si>
    <t>thanks</t>
  </si>
  <si>
    <t>brilliant</t>
  </si>
  <si>
    <t>humor</t>
  </si>
  <si>
    <t>use</t>
  </si>
  <si>
    <t>members</t>
  </si>
  <si>
    <t>put</t>
  </si>
  <si>
    <t>bed</t>
  </si>
  <si>
    <t>superb</t>
  </si>
  <si>
    <t>exceptional</t>
  </si>
  <si>
    <t>man</t>
  </si>
  <si>
    <t>nurses</t>
  </si>
  <si>
    <t>used</t>
  </si>
  <si>
    <t>well</t>
  </si>
  <si>
    <t>informative</t>
  </si>
  <si>
    <t>possible</t>
  </si>
  <si>
    <t>notonly</t>
  </si>
  <si>
    <t>hands</t>
  </si>
  <si>
    <t xml:space="preserve"> Words only relate to female doctors</t>
  </si>
  <si>
    <t>Words only relate to male doctors</t>
  </si>
  <si>
    <t xml:space="preserve"> Words more relate to female doctors</t>
  </si>
  <si>
    <t xml:space="preserve"> Words more relate to male doctors</t>
  </si>
  <si>
    <t xml:space="preserve">Words </t>
  </si>
  <si>
    <t>Absolute difference</t>
  </si>
  <si>
    <t>window size: 30</t>
  </si>
  <si>
    <t>Window Size: 5</t>
  </si>
  <si>
    <t>foster</t>
  </si>
  <si>
    <t>unbelievable</t>
  </si>
  <si>
    <t>hrs</t>
  </si>
  <si>
    <t>reaction</t>
  </si>
  <si>
    <t>continues</t>
  </si>
  <si>
    <t>antibiotic</t>
  </si>
  <si>
    <t>believes</t>
  </si>
  <si>
    <t>including</t>
  </si>
  <si>
    <t>salvato</t>
  </si>
  <si>
    <t>rarely</t>
  </si>
  <si>
    <t>everybody</t>
  </si>
  <si>
    <t>hypertension</t>
  </si>
  <si>
    <t>sites</t>
  </si>
  <si>
    <t>dirty</t>
  </si>
  <si>
    <t>chatty</t>
  </si>
  <si>
    <t>reduced</t>
  </si>
  <si>
    <t>consideration</t>
  </si>
  <si>
    <t>gentleman</t>
  </si>
  <si>
    <t>amongst</t>
  </si>
  <si>
    <t>sign</t>
  </si>
  <si>
    <t>patient</t>
  </si>
  <si>
    <t>physician</t>
  </si>
  <si>
    <t>knowledgeable</t>
  </si>
  <si>
    <t>professional</t>
  </si>
  <si>
    <t>wonderful</t>
  </si>
  <si>
    <t>compassionate</t>
  </si>
  <si>
    <t>thorough</t>
  </si>
  <si>
    <t>personable</t>
  </si>
  <si>
    <t>patients</t>
  </si>
  <si>
    <t>friendly</t>
  </si>
  <si>
    <t>intelligent</t>
  </si>
  <si>
    <t>dr</t>
  </si>
  <si>
    <t>doctor</t>
  </si>
  <si>
    <t>amp</t>
  </si>
  <si>
    <t>extremely</t>
  </si>
  <si>
    <t>one</t>
  </si>
  <si>
    <t>time</t>
  </si>
  <si>
    <t>care</t>
  </si>
  <si>
    <t>even</t>
  </si>
  <si>
    <t>office</t>
  </si>
  <si>
    <t>staff</t>
  </si>
  <si>
    <t>go</t>
  </si>
  <si>
    <t>see</t>
  </si>
  <si>
    <t>understanding</t>
  </si>
  <si>
    <t>years</t>
  </si>
  <si>
    <t>always</t>
  </si>
  <si>
    <t xml:space="preserve"> Words only relate to sanctioned doctors</t>
  </si>
  <si>
    <t xml:space="preserve"> Words only relate to unsanctioned doctors</t>
  </si>
  <si>
    <t xml:space="preserve"> Words more relate to unsanctioned doctors</t>
  </si>
  <si>
    <t>Window size: 30</t>
  </si>
  <si>
    <t>Not Sanction</t>
  </si>
  <si>
    <t>appropriate</t>
  </si>
  <si>
    <t>asking</t>
  </si>
  <si>
    <t>appreciate</t>
  </si>
  <si>
    <t>trying</t>
  </si>
  <si>
    <t>specialty</t>
  </si>
  <si>
    <t>knew</t>
  </si>
  <si>
    <t>confident</t>
  </si>
  <si>
    <t>worked</t>
  </si>
  <si>
    <t>performed</t>
  </si>
  <si>
    <t>sincere</t>
  </si>
  <si>
    <t>let</t>
  </si>
  <si>
    <t>sent</t>
  </si>
  <si>
    <t>diagnosing</t>
  </si>
  <si>
    <t>terms</t>
  </si>
  <si>
    <t>careful</t>
  </si>
  <si>
    <t>work</t>
  </si>
  <si>
    <t>responsive</t>
  </si>
  <si>
    <t>rushes</t>
  </si>
  <si>
    <t>nurse</t>
  </si>
  <si>
    <t>seeing</t>
  </si>
  <si>
    <t>prescriptions</t>
  </si>
  <si>
    <t>rushing</t>
  </si>
  <si>
    <t>unfriendly</t>
  </si>
  <si>
    <t>experiences</t>
  </si>
  <si>
    <t>manager</t>
  </si>
  <si>
    <t>half</t>
  </si>
  <si>
    <t>messages</t>
  </si>
  <si>
    <t>pleased</t>
  </si>
  <si>
    <t>waits</t>
  </si>
  <si>
    <t>encountered</t>
  </si>
  <si>
    <t>less</t>
  </si>
  <si>
    <t>soft</t>
  </si>
  <si>
    <t>lung</t>
  </si>
  <si>
    <t>helpfull</t>
  </si>
  <si>
    <t>condition</t>
  </si>
  <si>
    <t>clean</t>
  </si>
  <si>
    <t>rating</t>
  </si>
  <si>
    <t>fortunate</t>
  </si>
  <si>
    <t>words</t>
  </si>
  <si>
    <t>attending</t>
  </si>
  <si>
    <t>member</t>
  </si>
  <si>
    <t>excellant</t>
  </si>
  <si>
    <t>extra</t>
  </si>
  <si>
    <t>surprised</t>
  </si>
  <si>
    <t>emergencies</t>
  </si>
  <si>
    <t>Sanction doctors in each specialty/total number of doctors of that specialty</t>
  </si>
  <si>
    <t>Number of sanctioned doctors of each specialty / total number of doctors</t>
  </si>
  <si>
    <t>Number of sanctioned doctors of each specialty / total number of snactioned doctors</t>
  </si>
  <si>
    <t>Number of sanctioned doctors of each specialty/total number of doctors of that specialty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</si>
</sst>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37">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b/>
      <sz val="14"/>
      <color theme="1"/>
      <name val="Calibri"/>
      <family val="2"/>
      <scheme val="minor"/>
    </font>
    <font>
      <sz val="14"/>
      <color theme="1"/>
      <name val="Calibri"/>
      <family val="2"/>
      <scheme val="minor"/>
    </font>
    <font>
      <b/>
      <sz val="16"/>
      <color theme="1"/>
      <name val="Calibri"/>
      <family val="2"/>
      <scheme val="minor"/>
    </font>
    <font>
      <sz val="16"/>
      <color theme="1"/>
      <name val="Calibri"/>
      <family val="2"/>
      <scheme val="minor"/>
    </font>
    <font>
      <i/>
      <sz val="16"/>
      <color theme="1"/>
      <name val="Calibri"/>
      <family val="2"/>
      <scheme val="minor"/>
    </font>
    <font>
      <b/>
      <sz val="12"/>
      <color rgb="FF000000"/>
      <name val="Helvetica Neue"/>
      <family val="2"/>
    </font>
    <font>
      <sz val="12"/>
      <color rgb="FF000000"/>
      <name val="Helvetica Neue"/>
      <family val="2"/>
    </font>
    <font>
      <b/>
      <sz val="14"/>
      <color rgb="FF000000"/>
      <name val="Helvetica Neue"/>
      <family val="2"/>
    </font>
    <font>
      <sz val="14"/>
      <color rgb="FF000000"/>
      <name val="Helvetica Neue"/>
      <family val="2"/>
    </font>
    <font>
      <b/>
      <sz val="14"/>
      <color theme="1"/>
      <name val="Calibri (Body)"/>
    </font>
    <font>
      <sz val="14"/>
      <color theme="1"/>
      <name val="Calibri (Body)"/>
    </font>
    <font>
      <sz val="8"/>
      <name val="Calibri"/>
      <family val="2"/>
      <scheme val="minor"/>
    </font>
    <font>
      <b/>
      <sz val="12"/>
      <color rgb="FF000000"/>
      <name val="Calibri"/>
      <family val="2"/>
      <scheme val="minor"/>
    </font>
    <font>
      <sz val="14"/>
      <color rgb="FF303F9F"/>
      <name val="Courier New"/>
      <family val="1"/>
    </font>
    <font>
      <sz val="14"/>
      <color rgb="FF000000"/>
      <name val="Calibri"/>
      <family val="2"/>
      <scheme val="minor"/>
    </font>
    <font>
      <sz val="12"/>
      <color rgb="FF303F9F"/>
      <name val="Courier New"/>
      <family val="1"/>
    </font>
    <font>
      <sz val="10"/>
      <color rgb="FF000000"/>
      <name val="Inherit"/>
    </font>
    <font>
      <sz val="14"/>
      <color rgb="FF000000"/>
      <name val="Courier New"/>
      <family val="1"/>
    </font>
    <font>
      <sz val="10"/>
      <color rgb="FF000000"/>
      <name val="Courier New"/>
      <family val="1"/>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indexed="64"/>
      </top>
      <bottom/>
      <diagonal/>
    </border>
    <border>
      <left/>
      <right/>
      <top/>
      <bottom style="medium">
        <color indexed="64"/>
      </bottom>
      <diagonal/>
    </border>
    <border>
      <left/>
      <right/>
      <top style="medium">
        <color indexed="64"/>
      </top>
      <bottom/>
      <diagonal/>
    </border>
    <border>
      <left/>
      <right/>
      <top/>
      <bottom style="thin">
        <color indexed="64"/>
      </bottom>
      <diagonal/>
    </border>
    <border>
      <left/>
      <right/>
      <top style="thin">
        <color indexed="64"/>
      </top>
      <bottom style="medium">
        <color indexed="64"/>
      </bottom>
      <diagonal/>
    </border>
    <border>
      <left/>
      <right/>
      <top style="thin">
        <color indexed="64"/>
      </top>
      <bottom style="thin">
        <color indexed="64"/>
      </bottom>
      <diagonal/>
    </border>
    <border>
      <left/>
      <right/>
      <top style="medium">
        <color indexed="64"/>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150">
    <xf numFmtId="0" fontId="0" fillId="0" borderId="0" xfId="0"/>
    <xf numFmtId="0" fontId="18" fillId="0" borderId="11" xfId="0" applyFont="1" applyBorder="1"/>
    <xf numFmtId="0" fontId="19" fillId="0" borderId="11" xfId="0" applyFont="1" applyBorder="1" applyAlignment="1">
      <alignment horizontal="center"/>
    </xf>
    <xf numFmtId="0" fontId="19" fillId="0" borderId="0" xfId="0" applyFont="1"/>
    <xf numFmtId="0" fontId="18" fillId="0" borderId="0" xfId="0" applyFont="1"/>
    <xf numFmtId="0" fontId="19" fillId="0" borderId="0" xfId="0" applyFont="1" applyAlignment="1">
      <alignment horizontal="center"/>
    </xf>
    <xf numFmtId="0" fontId="21" fillId="0" borderId="0" xfId="0" applyFont="1" applyBorder="1" applyAlignment="1">
      <alignment horizontal="center"/>
    </xf>
    <xf numFmtId="0" fontId="21" fillId="0" borderId="0" xfId="0" applyFont="1" applyBorder="1" applyAlignment="1">
      <alignment horizontal="center" vertical="center"/>
    </xf>
    <xf numFmtId="0" fontId="18" fillId="0" borderId="11" xfId="0" applyFont="1" applyBorder="1" applyAlignment="1">
      <alignment wrapText="1"/>
    </xf>
    <xf numFmtId="0" fontId="18" fillId="0" borderId="0" xfId="0" applyFont="1" applyAlignment="1">
      <alignment wrapText="1"/>
    </xf>
    <xf numFmtId="0" fontId="19" fillId="0" borderId="0" xfId="0" applyFont="1" applyAlignment="1">
      <alignment vertical="center"/>
    </xf>
    <xf numFmtId="0" fontId="20" fillId="0" borderId="0" xfId="0" applyFont="1" applyBorder="1" applyAlignment="1">
      <alignment wrapText="1"/>
    </xf>
    <xf numFmtId="2" fontId="21" fillId="0" borderId="10" xfId="0" applyNumberFormat="1" applyFont="1" applyBorder="1" applyAlignment="1">
      <alignment horizontal="center" vertical="center"/>
    </xf>
    <xf numFmtId="0" fontId="21" fillId="0" borderId="10" xfId="0" applyFont="1" applyBorder="1" applyAlignment="1">
      <alignment horizontal="center" vertical="center"/>
    </xf>
    <xf numFmtId="2" fontId="21" fillId="0" borderId="0" xfId="0" applyNumberFormat="1" applyFont="1" applyBorder="1" applyAlignment="1">
      <alignment horizontal="center" vertical="center"/>
    </xf>
    <xf numFmtId="2" fontId="21" fillId="0" borderId="11" xfId="0" applyNumberFormat="1" applyFont="1" applyBorder="1" applyAlignment="1">
      <alignment horizontal="center" vertical="center"/>
    </xf>
    <xf numFmtId="0" fontId="21" fillId="0" borderId="11" xfId="0" applyFont="1" applyBorder="1" applyAlignment="1">
      <alignment horizontal="center" vertical="center"/>
    </xf>
    <xf numFmtId="0" fontId="21" fillId="0" borderId="10" xfId="0" applyFont="1" applyBorder="1" applyAlignment="1">
      <alignment vertical="center" wrapText="1"/>
    </xf>
    <xf numFmtId="0" fontId="21" fillId="0" borderId="0" xfId="0" applyFont="1" applyBorder="1" applyAlignment="1">
      <alignment vertical="center" wrapText="1"/>
    </xf>
    <xf numFmtId="0" fontId="21" fillId="0" borderId="11" xfId="0" applyFont="1" applyBorder="1" applyAlignment="1">
      <alignment vertical="center" wrapText="1"/>
    </xf>
    <xf numFmtId="0" fontId="24" fillId="0" borderId="0" xfId="0" applyFont="1"/>
    <xf numFmtId="0" fontId="0" fillId="0" borderId="0" xfId="0" applyAlignment="1">
      <alignment horizontal="center"/>
    </xf>
    <xf numFmtId="0" fontId="0" fillId="0" borderId="0" xfId="0" applyAlignment="1">
      <alignment vertical="center"/>
    </xf>
    <xf numFmtId="0" fontId="0" fillId="0" borderId="0" xfId="0" applyBorder="1" applyAlignment="1">
      <alignment horizontal="center"/>
    </xf>
    <xf numFmtId="0" fontId="0" fillId="0" borderId="0" xfId="0" applyBorder="1"/>
    <xf numFmtId="0" fontId="19" fillId="0" borderId="13" xfId="0" applyFont="1" applyBorder="1" applyAlignment="1">
      <alignment vertical="center"/>
    </xf>
    <xf numFmtId="0" fontId="19" fillId="0" borderId="0" xfId="0" applyFont="1" applyBorder="1" applyAlignment="1">
      <alignment vertical="center"/>
    </xf>
    <xf numFmtId="2" fontId="26" fillId="0" borderId="0" xfId="0" applyNumberFormat="1" applyFont="1" applyBorder="1" applyAlignment="1">
      <alignment horizontal="center" vertical="center"/>
    </xf>
    <xf numFmtId="0" fontId="19" fillId="0" borderId="11" xfId="0" applyFont="1" applyBorder="1" applyAlignment="1">
      <alignment vertical="center"/>
    </xf>
    <xf numFmtId="2" fontId="26" fillId="0" borderId="11" xfId="0" applyNumberFormat="1" applyFont="1" applyBorder="1" applyAlignment="1">
      <alignment horizontal="center" vertical="center"/>
    </xf>
    <xf numFmtId="0" fontId="26" fillId="0" borderId="13" xfId="0" applyFont="1" applyBorder="1" applyAlignment="1">
      <alignment horizontal="center" vertical="center"/>
    </xf>
    <xf numFmtId="0" fontId="0" fillId="0" borderId="0" xfId="0" applyAlignment="1">
      <alignment wrapText="1"/>
    </xf>
    <xf numFmtId="0" fontId="0" fillId="0" borderId="0" xfId="0" applyAlignment="1">
      <alignment horizontal="center" vertical="center"/>
    </xf>
    <xf numFmtId="0" fontId="19" fillId="0" borderId="0" xfId="0" applyFont="1" applyBorder="1" applyAlignment="1">
      <alignment vertical="center" wrapText="1"/>
    </xf>
    <xf numFmtId="0" fontId="19" fillId="0" borderId="0" xfId="0" applyFont="1" applyBorder="1"/>
    <xf numFmtId="0" fontId="19" fillId="0" borderId="0" xfId="0" applyFont="1" applyAlignment="1">
      <alignment horizontal="center" vertical="center" wrapText="1"/>
    </xf>
    <xf numFmtId="2" fontId="19" fillId="0" borderId="0" xfId="0" applyNumberFormat="1" applyFont="1" applyAlignment="1">
      <alignment horizontal="center" vertical="center" wrapText="1"/>
    </xf>
    <xf numFmtId="1" fontId="19" fillId="0" borderId="0" xfId="0" quotePrefix="1" applyNumberFormat="1" applyFont="1" applyAlignment="1">
      <alignment horizontal="center" vertical="center" wrapText="1"/>
    </xf>
    <xf numFmtId="1" fontId="19" fillId="0" borderId="0" xfId="0" applyNumberFormat="1" applyFont="1" applyAlignment="1">
      <alignment horizontal="center" vertical="center" wrapText="1"/>
    </xf>
    <xf numFmtId="2" fontId="19" fillId="0" borderId="11" xfId="0" applyNumberFormat="1" applyFont="1" applyBorder="1" applyAlignment="1">
      <alignment horizontal="center" vertical="center" wrapText="1"/>
    </xf>
    <xf numFmtId="1" fontId="19" fillId="0" borderId="11" xfId="0" applyNumberFormat="1" applyFont="1" applyBorder="1" applyAlignment="1">
      <alignment horizontal="center" vertical="center" wrapText="1"/>
    </xf>
    <xf numFmtId="2" fontId="19" fillId="0" borderId="11" xfId="0" quotePrefix="1" applyNumberFormat="1" applyFont="1" applyBorder="1" applyAlignment="1">
      <alignment horizontal="center" vertical="center" wrapText="1"/>
    </xf>
    <xf numFmtId="2" fontId="18" fillId="0" borderId="0" xfId="0" applyNumberFormat="1" applyFont="1" applyAlignment="1">
      <alignment horizontal="center" vertical="center"/>
    </xf>
    <xf numFmtId="0" fontId="19" fillId="0" borderId="0" xfId="0" applyFont="1" applyAlignment="1">
      <alignment vertical="center" wrapText="1"/>
    </xf>
    <xf numFmtId="0" fontId="25" fillId="0" borderId="0" xfId="0" applyFont="1" applyAlignment="1">
      <alignment horizontal="center"/>
    </xf>
    <xf numFmtId="0" fontId="26" fillId="0" borderId="0" xfId="0" applyFont="1" applyAlignment="1">
      <alignment horizontal="center"/>
    </xf>
    <xf numFmtId="2" fontId="26" fillId="0" borderId="0" xfId="0" applyNumberFormat="1" applyFont="1" applyAlignment="1">
      <alignment horizontal="center"/>
    </xf>
    <xf numFmtId="1" fontId="26" fillId="0" borderId="0" xfId="0" applyNumberFormat="1" applyFont="1" applyAlignment="1">
      <alignment horizontal="center"/>
    </xf>
    <xf numFmtId="1" fontId="19" fillId="0" borderId="0" xfId="0" applyNumberFormat="1" applyFont="1" applyBorder="1" applyAlignment="1">
      <alignment horizontal="center" vertical="center" wrapText="1"/>
    </xf>
    <xf numFmtId="2" fontId="19" fillId="0" borderId="0" xfId="0" quotePrefix="1" applyNumberFormat="1" applyFont="1" applyBorder="1" applyAlignment="1">
      <alignment horizontal="center" vertical="center" wrapText="1"/>
    </xf>
    <xf numFmtId="2" fontId="19" fillId="0" borderId="15" xfId="0" applyNumberFormat="1" applyFont="1" applyBorder="1" applyAlignment="1">
      <alignment horizontal="center" vertical="center" wrapText="1"/>
    </xf>
    <xf numFmtId="2" fontId="19" fillId="0" borderId="15" xfId="0" quotePrefix="1" applyNumberFormat="1" applyFont="1" applyBorder="1" applyAlignment="1">
      <alignment horizontal="center" vertical="center" wrapText="1"/>
    </xf>
    <xf numFmtId="1" fontId="19" fillId="0" borderId="15" xfId="0" quotePrefix="1" applyNumberFormat="1" applyFont="1" applyBorder="1" applyAlignment="1">
      <alignment horizontal="center" vertical="center" wrapText="1"/>
    </xf>
    <xf numFmtId="1" fontId="19" fillId="0" borderId="15" xfId="0" applyNumberFormat="1" applyFont="1" applyBorder="1" applyAlignment="1">
      <alignment horizontal="center" vertical="center" wrapText="1"/>
    </xf>
    <xf numFmtId="0" fontId="19" fillId="0" borderId="13" xfId="0" applyFont="1" applyBorder="1" applyAlignment="1">
      <alignment horizontal="center" vertical="center" wrapText="1"/>
    </xf>
    <xf numFmtId="0" fontId="18" fillId="0" borderId="0" xfId="0" applyFont="1" applyAlignment="1">
      <alignment horizontal="center" vertical="center"/>
    </xf>
    <xf numFmtId="1" fontId="19" fillId="0" borderId="14" xfId="0" applyNumberFormat="1" applyFont="1" applyBorder="1" applyAlignment="1">
      <alignment horizontal="center" vertical="center" wrapText="1"/>
    </xf>
    <xf numFmtId="2" fontId="19" fillId="0" borderId="14" xfId="0" applyNumberFormat="1" applyFont="1" applyBorder="1" applyAlignment="1">
      <alignment horizontal="center" vertical="center" wrapText="1"/>
    </xf>
    <xf numFmtId="2" fontId="19" fillId="0" borderId="14" xfId="0" quotePrefix="1" applyNumberFormat="1" applyFont="1" applyBorder="1" applyAlignment="1">
      <alignment horizontal="center" vertical="center" wrapText="1"/>
    </xf>
    <xf numFmtId="0" fontId="0" fillId="0" borderId="0" xfId="0" applyAlignment="1">
      <alignment horizontal="left"/>
    </xf>
    <xf numFmtId="0" fontId="26" fillId="0" borderId="0" xfId="0" applyFont="1" applyBorder="1" applyAlignment="1">
      <alignment horizontal="left"/>
    </xf>
    <xf numFmtId="1" fontId="26" fillId="0" borderId="0" xfId="0" applyNumberFormat="1" applyFont="1" applyBorder="1" applyAlignment="1">
      <alignment horizontal="left"/>
    </xf>
    <xf numFmtId="2" fontId="26" fillId="0" borderId="0" xfId="0" applyNumberFormat="1" applyFont="1" applyBorder="1" applyAlignment="1">
      <alignment horizontal="left"/>
    </xf>
    <xf numFmtId="0" fontId="26" fillId="0" borderId="11" xfId="0" applyFont="1" applyBorder="1" applyAlignment="1">
      <alignment horizontal="left"/>
    </xf>
    <xf numFmtId="1" fontId="26" fillId="0" borderId="11" xfId="0" applyNumberFormat="1" applyFont="1" applyBorder="1" applyAlignment="1">
      <alignment horizontal="left"/>
    </xf>
    <xf numFmtId="2" fontId="26" fillId="0" borderId="11" xfId="0" applyNumberFormat="1" applyFont="1" applyBorder="1" applyAlignment="1">
      <alignment horizontal="left"/>
    </xf>
    <xf numFmtId="0" fontId="25" fillId="0" borderId="15" xfId="0" applyFont="1" applyBorder="1" applyAlignment="1">
      <alignment horizontal="left" vertical="center"/>
    </xf>
    <xf numFmtId="0" fontId="23" fillId="0" borderId="0" xfId="0" applyFont="1" applyAlignment="1">
      <alignment vertical="center"/>
    </xf>
    <xf numFmtId="0" fontId="31" fillId="0" borderId="0" xfId="0" applyFont="1"/>
    <xf numFmtId="0" fontId="32" fillId="0" borderId="0" xfId="0" applyFont="1" applyBorder="1"/>
    <xf numFmtId="0" fontId="32" fillId="0" borderId="11" xfId="0" applyFont="1" applyBorder="1"/>
    <xf numFmtId="164" fontId="32" fillId="0" borderId="0" xfId="0" applyNumberFormat="1" applyFont="1" applyBorder="1" applyAlignment="1">
      <alignment horizontal="center"/>
    </xf>
    <xf numFmtId="164" fontId="32" fillId="0" borderId="11" xfId="0" applyNumberFormat="1" applyFont="1" applyBorder="1" applyAlignment="1">
      <alignment horizontal="center"/>
    </xf>
    <xf numFmtId="0" fontId="33" fillId="0" borderId="0" xfId="0" applyFont="1"/>
    <xf numFmtId="0" fontId="34" fillId="0" borderId="0" xfId="0" applyFont="1"/>
    <xf numFmtId="0" fontId="32" fillId="0" borderId="13" xfId="0" applyFont="1" applyBorder="1"/>
    <xf numFmtId="0" fontId="32" fillId="0" borderId="13" xfId="0" applyFont="1" applyBorder="1" applyAlignment="1">
      <alignment horizontal="center"/>
    </xf>
    <xf numFmtId="0" fontId="30" fillId="0" borderId="0" xfId="0" applyFont="1" applyAlignment="1">
      <alignment wrapText="1"/>
    </xf>
    <xf numFmtId="0" fontId="32" fillId="0" borderId="15" xfId="0" applyFont="1" applyBorder="1" applyAlignment="1">
      <alignment wrapText="1"/>
    </xf>
    <xf numFmtId="0" fontId="30" fillId="0" borderId="13" xfId="0" applyFont="1" applyBorder="1" applyAlignment="1">
      <alignment wrapText="1"/>
    </xf>
    <xf numFmtId="0" fontId="32" fillId="0" borderId="13" xfId="0" applyFont="1" applyBorder="1" applyAlignment="1">
      <alignment wrapText="1"/>
    </xf>
    <xf numFmtId="0" fontId="0" fillId="0" borderId="10" xfId="0" applyBorder="1"/>
    <xf numFmtId="164" fontId="32" fillId="0" borderId="0" xfId="0" applyNumberFormat="1" applyFont="1" applyBorder="1" applyAlignment="1">
      <alignment horizontal="center" vertical="center"/>
    </xf>
    <xf numFmtId="164" fontId="32" fillId="0" borderId="11" xfId="0" applyNumberFormat="1" applyFont="1" applyBorder="1" applyAlignment="1">
      <alignment horizontal="center" vertical="center"/>
    </xf>
    <xf numFmtId="0" fontId="19" fillId="0" borderId="0" xfId="0" applyFont="1" applyBorder="1" applyAlignment="1">
      <alignment horizontal="left" vertical="center" wrapText="1"/>
    </xf>
    <xf numFmtId="0" fontId="19" fillId="0" borderId="11" xfId="0" applyFont="1" applyBorder="1" applyAlignment="1">
      <alignment horizontal="left" vertical="center" wrapText="1"/>
    </xf>
    <xf numFmtId="0" fontId="32" fillId="0" borderId="0" xfId="0" applyFont="1" applyBorder="1" applyAlignment="1">
      <alignment horizontal="center" vertical="center" wrapText="1"/>
    </xf>
    <xf numFmtId="0" fontId="0" fillId="0" borderId="11" xfId="0" applyBorder="1" applyAlignment="1">
      <alignment horizontal="center" vertical="center"/>
    </xf>
    <xf numFmtId="0" fontId="0" fillId="0" borderId="0" xfId="0" applyFont="1"/>
    <xf numFmtId="0" fontId="0" fillId="0" borderId="0" xfId="0" applyFont="1" applyAlignment="1">
      <alignment horizontal="center"/>
    </xf>
    <xf numFmtId="0" fontId="19" fillId="0" borderId="0" xfId="0" applyFont="1" applyAlignment="1">
      <alignment horizontal="left"/>
    </xf>
    <xf numFmtId="0" fontId="32" fillId="0" borderId="0" xfId="0" applyFont="1" applyAlignment="1">
      <alignment horizontal="left"/>
    </xf>
    <xf numFmtId="164" fontId="32" fillId="0" borderId="0" xfId="0" applyNumberFormat="1" applyFont="1" applyAlignment="1">
      <alignment horizontal="left"/>
    </xf>
    <xf numFmtId="0" fontId="32" fillId="0" borderId="0" xfId="0" applyFont="1" applyBorder="1" applyAlignment="1">
      <alignment horizontal="left"/>
    </xf>
    <xf numFmtId="164" fontId="32" fillId="0" borderId="0" xfId="0" applyNumberFormat="1" applyFont="1" applyBorder="1" applyAlignment="1">
      <alignment horizontal="left"/>
    </xf>
    <xf numFmtId="0" fontId="32" fillId="0" borderId="11" xfId="0" applyFont="1" applyBorder="1" applyAlignment="1">
      <alignment horizontal="left"/>
    </xf>
    <xf numFmtId="164" fontId="32" fillId="0" borderId="11" xfId="0" applyNumberFormat="1" applyFont="1" applyBorder="1" applyAlignment="1">
      <alignment horizontal="left"/>
    </xf>
    <xf numFmtId="0" fontId="19" fillId="0" borderId="11" xfId="0" applyFont="1" applyBorder="1" applyAlignment="1">
      <alignment horizontal="left"/>
    </xf>
    <xf numFmtId="0" fontId="19" fillId="0" borderId="16" xfId="0" applyFont="1" applyBorder="1" applyAlignment="1">
      <alignment horizontal="center"/>
    </xf>
    <xf numFmtId="0" fontId="19" fillId="0" borderId="15" xfId="0" applyFont="1" applyBorder="1" applyAlignment="1">
      <alignment horizontal="left"/>
    </xf>
    <xf numFmtId="0" fontId="32" fillId="0" borderId="15" xfId="0" applyFont="1" applyBorder="1" applyAlignment="1">
      <alignment horizontal="left"/>
    </xf>
    <xf numFmtId="0" fontId="19" fillId="0" borderId="15" xfId="0" applyFont="1" applyBorder="1" applyAlignment="1">
      <alignment horizontal="center"/>
    </xf>
    <xf numFmtId="0" fontId="32" fillId="0" borderId="15" xfId="0" applyFont="1" applyBorder="1" applyAlignment="1">
      <alignment horizontal="center"/>
    </xf>
    <xf numFmtId="0" fontId="32" fillId="0" borderId="0" xfId="0" applyFont="1" applyBorder="1" applyAlignment="1">
      <alignment horizontal="center"/>
    </xf>
    <xf numFmtId="0" fontId="32" fillId="0" borderId="11" xfId="0" applyFont="1" applyBorder="1" applyAlignment="1">
      <alignment horizontal="center"/>
    </xf>
    <xf numFmtId="0" fontId="35" fillId="0" borderId="0" xfId="0" applyFont="1"/>
    <xf numFmtId="164" fontId="0" fillId="0" borderId="0" xfId="0" applyNumberFormat="1" applyAlignment="1">
      <alignment horizontal="center"/>
    </xf>
    <xf numFmtId="0" fontId="0" fillId="0" borderId="11" xfId="0" applyBorder="1"/>
    <xf numFmtId="0" fontId="0" fillId="0" borderId="11" xfId="0" applyBorder="1" applyAlignment="1">
      <alignment horizontal="center"/>
    </xf>
    <xf numFmtId="164" fontId="0" fillId="0" borderId="11" xfId="0" applyNumberFormat="1" applyBorder="1" applyAlignment="1">
      <alignment horizontal="center"/>
    </xf>
    <xf numFmtId="0" fontId="0" fillId="0" borderId="15" xfId="0" applyBorder="1" applyAlignment="1">
      <alignment horizontal="center"/>
    </xf>
    <xf numFmtId="10" fontId="19" fillId="0" borderId="0" xfId="42" applyNumberFormat="1" applyFont="1" applyAlignment="1">
      <alignment horizontal="center"/>
    </xf>
    <xf numFmtId="10" fontId="19" fillId="0" borderId="11" xfId="42" applyNumberFormat="1" applyFont="1" applyBorder="1" applyAlignment="1">
      <alignment horizontal="center"/>
    </xf>
    <xf numFmtId="0" fontId="19" fillId="0" borderId="13" xfId="0" applyFont="1" applyBorder="1" applyAlignment="1">
      <alignment horizontal="center"/>
    </xf>
    <xf numFmtId="0" fontId="19" fillId="0" borderId="11" xfId="0" applyFont="1" applyBorder="1" applyAlignment="1">
      <alignment horizontal="center"/>
    </xf>
    <xf numFmtId="0" fontId="0" fillId="0" borderId="0" xfId="0" applyFill="1" applyBorder="1"/>
    <xf numFmtId="0" fontId="0" fillId="0" borderId="0" xfId="0" applyFont="1" applyFill="1" applyBorder="1"/>
    <xf numFmtId="0" fontId="19" fillId="0" borderId="0" xfId="0" applyFont="1" applyFill="1" applyBorder="1" applyAlignment="1">
      <alignment horizontal="center"/>
    </xf>
    <xf numFmtId="164" fontId="19" fillId="0" borderId="0" xfId="0" applyNumberFormat="1" applyFont="1" applyFill="1" applyBorder="1" applyAlignment="1">
      <alignment horizontal="center"/>
    </xf>
    <xf numFmtId="0" fontId="19" fillId="0" borderId="11" xfId="0" applyFont="1" applyFill="1" applyBorder="1" applyAlignment="1">
      <alignment horizontal="center"/>
    </xf>
    <xf numFmtId="164" fontId="19" fillId="0" borderId="11" xfId="0" applyNumberFormat="1" applyFont="1" applyFill="1" applyBorder="1" applyAlignment="1">
      <alignment horizontal="center"/>
    </xf>
    <xf numFmtId="0" fontId="0" fillId="0" borderId="0" xfId="0" applyFont="1" applyFill="1" applyBorder="1" applyAlignment="1">
      <alignment horizontal="center" vertical="center"/>
    </xf>
    <xf numFmtId="0" fontId="0" fillId="0" borderId="0" xfId="0" applyFill="1" applyBorder="1" applyAlignment="1">
      <alignment vertical="center"/>
    </xf>
    <xf numFmtId="0" fontId="20" fillId="0" borderId="0" xfId="0" applyFont="1" applyAlignment="1">
      <alignment horizontal="left"/>
    </xf>
    <xf numFmtId="0" fontId="19" fillId="0" borderId="15" xfId="0" applyFont="1" applyFill="1" applyBorder="1" applyAlignment="1">
      <alignment horizontal="center"/>
    </xf>
    <xf numFmtId="0" fontId="20" fillId="0" borderId="0" xfId="0" applyFont="1"/>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2" xfId="0" applyFont="1" applyBorder="1" applyAlignment="1">
      <alignment horizontal="center" vertical="center"/>
    </xf>
    <xf numFmtId="0" fontId="21" fillId="0" borderId="0" xfId="0" applyFont="1" applyBorder="1" applyAlignment="1">
      <alignment horizontal="center"/>
    </xf>
    <xf numFmtId="0" fontId="21" fillId="0" borderId="13" xfId="0" applyFont="1" applyBorder="1" applyAlignment="1">
      <alignment horizontal="center"/>
    </xf>
    <xf numFmtId="0" fontId="19" fillId="0" borderId="11" xfId="0" applyFont="1" applyBorder="1" applyAlignment="1">
      <alignment horizontal="left"/>
    </xf>
    <xf numFmtId="0" fontId="28" fillId="0" borderId="11" xfId="0" applyFont="1" applyBorder="1" applyAlignment="1">
      <alignment horizontal="left"/>
    </xf>
    <xf numFmtId="0" fontId="0" fillId="0" borderId="11" xfId="0" applyBorder="1" applyAlignment="1">
      <alignment horizontal="left"/>
    </xf>
    <xf numFmtId="0" fontId="19" fillId="0" borderId="11" xfId="0" applyFont="1" applyBorder="1" applyAlignment="1">
      <alignment horizontal="left" vertical="center"/>
    </xf>
    <xf numFmtId="0" fontId="19" fillId="0" borderId="0" xfId="0" applyFont="1" applyAlignment="1">
      <alignment horizontal="left" vertical="center"/>
    </xf>
    <xf numFmtId="0" fontId="19" fillId="0" borderId="13" xfId="0" applyFont="1" applyBorder="1" applyAlignment="1">
      <alignment horizontal="left"/>
    </xf>
    <xf numFmtId="0" fontId="19" fillId="0" borderId="11" xfId="0" applyFont="1" applyBorder="1" applyAlignment="1">
      <alignment horizontal="left" wrapText="1"/>
    </xf>
    <xf numFmtId="0" fontId="32" fillId="0" borderId="13" xfId="0" applyFont="1" applyBorder="1" applyAlignment="1">
      <alignment horizontal="center" vertical="center" wrapText="1"/>
    </xf>
    <xf numFmtId="0" fontId="19" fillId="0" borderId="11" xfId="0" applyFont="1" applyBorder="1" applyAlignment="1">
      <alignment horizontal="left" vertical="center" wrapText="1"/>
    </xf>
    <xf numFmtId="0" fontId="19" fillId="0" borderId="16" xfId="0" applyFont="1" applyBorder="1" applyAlignment="1">
      <alignment horizontal="center"/>
    </xf>
    <xf numFmtId="0" fontId="19" fillId="0" borderId="13" xfId="0" applyFont="1" applyBorder="1" applyAlignment="1">
      <alignment horizontal="center"/>
    </xf>
    <xf numFmtId="0" fontId="19" fillId="0" borderId="16" xfId="0" applyFont="1" applyBorder="1" applyAlignment="1">
      <alignment horizontal="center" wrapText="1"/>
    </xf>
    <xf numFmtId="0" fontId="19" fillId="0" borderId="11" xfId="0" applyFont="1" applyBorder="1" applyAlignment="1">
      <alignment horizontal="center"/>
    </xf>
    <xf numFmtId="0" fontId="0" fillId="0" borderId="13" xfId="0" applyBorder="1" applyAlignment="1">
      <alignment horizontal="center"/>
    </xf>
    <xf numFmtId="0" fontId="19" fillId="0" borderId="16" xfId="0" applyFont="1" applyFill="1" applyBorder="1" applyAlignment="1">
      <alignment horizontal="center" vertical="center"/>
    </xf>
    <xf numFmtId="0" fontId="36" fillId="0" borderId="0" xfId="0" applyFont="1"/>
    <xf numFmtId="10" fontId="0" fillId="0" borderId="0" xfId="42" applyNumberFormat="1" applyFont="1"/>
    <xf numFmtId="0" fontId="19" fillId="0" borderId="13" xfId="0" applyFont="1" applyBorder="1" applyAlignment="1">
      <alignment horizontal="center" wrapText="1"/>
    </xf>
    <xf numFmtId="0" fontId="19" fillId="0" borderId="13" xfId="0" applyFont="1" applyBorder="1" applyAlignment="1">
      <alignment horizontal="center" vertic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AF27"/>
  <sheetViews>
    <sheetView showGridLines="0" topLeftCell="K1" workbookViewId="0">
      <selection activeCell="X2" sqref="X2:Y27"/>
    </sheetView>
  </sheetViews>
  <sheetFormatPr baseColWidth="10" defaultRowHeight="19"/>
  <cols>
    <col min="1" max="1" width="10.83203125" style="3"/>
    <col min="2" max="2" width="13.5" style="9" customWidth="1"/>
    <col min="3" max="5" width="8.5" style="4" customWidth="1"/>
    <col min="6" max="6" width="2.5" style="4" customWidth="1"/>
    <col min="7" max="9" width="8.5" style="5" customWidth="1"/>
    <col min="10" max="10" width="2.6640625" style="5" customWidth="1"/>
    <col min="11" max="13" width="8.5" style="5" customWidth="1"/>
    <col min="14" max="14" width="2.5" style="5" customWidth="1"/>
    <col min="15" max="17" width="8.5" style="5" customWidth="1"/>
    <col min="18" max="18" width="2.5" style="5" customWidth="1"/>
    <col min="19" max="21" width="8.5" style="5" customWidth="1"/>
    <col min="22" max="16384" width="10.83203125" style="3"/>
  </cols>
  <sheetData>
    <row r="1" spans="2:32" ht="20" thickBot="1">
      <c r="B1" s="8"/>
      <c r="C1" s="1"/>
      <c r="D1" s="1"/>
      <c r="E1" s="1"/>
      <c r="F1" s="1"/>
      <c r="G1" s="2"/>
      <c r="H1" s="2"/>
      <c r="I1" s="2"/>
      <c r="J1" s="2"/>
      <c r="K1" s="2"/>
      <c r="L1" s="2"/>
      <c r="M1" s="2"/>
      <c r="N1" s="2"/>
      <c r="O1" s="2"/>
      <c r="P1" s="2"/>
      <c r="Q1" s="2"/>
      <c r="R1" s="2"/>
      <c r="S1" s="2"/>
      <c r="T1" s="2"/>
      <c r="U1" s="2"/>
    </row>
    <row r="2" spans="2:32" ht="21">
      <c r="B2" s="11"/>
      <c r="C2" s="128" t="s">
        <v>22</v>
      </c>
      <c r="D2" s="128"/>
      <c r="E2" s="128"/>
      <c r="F2" s="7"/>
      <c r="G2" s="129" t="s">
        <v>20</v>
      </c>
      <c r="H2" s="129"/>
      <c r="I2" s="129"/>
      <c r="J2" s="129"/>
      <c r="K2" s="129"/>
      <c r="L2" s="129"/>
      <c r="M2" s="129"/>
      <c r="N2" s="6"/>
      <c r="O2" s="129" t="s">
        <v>21</v>
      </c>
      <c r="P2" s="129"/>
      <c r="Q2" s="129"/>
      <c r="R2" s="129"/>
      <c r="S2" s="129"/>
      <c r="T2" s="129"/>
      <c r="U2" s="129"/>
      <c r="Z2" s="5"/>
      <c r="AA2" s="4"/>
      <c r="AB2" s="4"/>
      <c r="AC2" s="5"/>
      <c r="AD2" s="5"/>
      <c r="AE2" s="5"/>
      <c r="AF2" s="5"/>
    </row>
    <row r="3" spans="2:32" ht="21">
      <c r="B3" s="11"/>
      <c r="C3" s="126"/>
      <c r="D3" s="126"/>
      <c r="E3" s="126"/>
      <c r="F3" s="7"/>
      <c r="G3" s="129" t="s">
        <v>23</v>
      </c>
      <c r="H3" s="129"/>
      <c r="I3" s="129"/>
      <c r="J3" s="129"/>
      <c r="K3" s="129"/>
      <c r="L3" s="129"/>
      <c r="M3" s="129"/>
      <c r="N3" s="6"/>
      <c r="O3" s="129" t="s">
        <v>24</v>
      </c>
      <c r="P3" s="129"/>
      <c r="Q3" s="129"/>
      <c r="R3" s="129"/>
      <c r="S3" s="129"/>
      <c r="T3" s="129"/>
      <c r="U3" s="129"/>
      <c r="Z3" s="5"/>
      <c r="AA3" s="4"/>
      <c r="AB3" s="4"/>
      <c r="AC3" s="5"/>
      <c r="AD3" s="5"/>
      <c r="AE3" s="5"/>
      <c r="AF3" s="5"/>
    </row>
    <row r="4" spans="2:32" ht="21">
      <c r="B4" s="11"/>
      <c r="C4" s="126" t="s">
        <v>25</v>
      </c>
      <c r="D4" s="126"/>
      <c r="E4" s="126"/>
      <c r="F4" s="7"/>
      <c r="G4" s="129" t="s">
        <v>18</v>
      </c>
      <c r="H4" s="129"/>
      <c r="I4" s="129"/>
      <c r="J4" s="6"/>
      <c r="K4" s="129" t="s">
        <v>19</v>
      </c>
      <c r="L4" s="129"/>
      <c r="M4" s="129"/>
      <c r="N4" s="6"/>
      <c r="O4" s="129" t="s">
        <v>18</v>
      </c>
      <c r="P4" s="129"/>
      <c r="Q4" s="129"/>
      <c r="R4" s="6"/>
      <c r="S4" s="129" t="s">
        <v>19</v>
      </c>
      <c r="T4" s="129"/>
      <c r="U4" s="129"/>
      <c r="Z4" s="5"/>
      <c r="AA4" s="4"/>
      <c r="AB4" s="4"/>
      <c r="AC4" s="5"/>
      <c r="AD4" s="5"/>
      <c r="AE4" s="5"/>
      <c r="AF4" s="5"/>
    </row>
    <row r="5" spans="2:32" ht="21">
      <c r="B5" s="11"/>
      <c r="C5" s="127"/>
      <c r="D5" s="127"/>
      <c r="E5" s="127"/>
      <c r="F5" s="7"/>
      <c r="G5" s="130" t="s">
        <v>26</v>
      </c>
      <c r="H5" s="130"/>
      <c r="I5" s="130"/>
      <c r="J5" s="6"/>
      <c r="K5" s="130" t="s">
        <v>27</v>
      </c>
      <c r="L5" s="130"/>
      <c r="M5" s="130"/>
      <c r="N5" s="6"/>
      <c r="O5" s="130" t="s">
        <v>28</v>
      </c>
      <c r="P5" s="130"/>
      <c r="Q5" s="130"/>
      <c r="R5" s="6"/>
      <c r="S5" s="130" t="s">
        <v>29</v>
      </c>
      <c r="T5" s="130"/>
      <c r="U5" s="130"/>
      <c r="Z5" s="5"/>
      <c r="AA5" s="4"/>
      <c r="AB5" s="4"/>
      <c r="AC5" s="5"/>
      <c r="AD5" s="5"/>
      <c r="AE5" s="5"/>
      <c r="AF5" s="5"/>
    </row>
    <row r="6" spans="2:32" ht="21">
      <c r="B6" s="11"/>
      <c r="C6" s="6" t="s">
        <v>0</v>
      </c>
      <c r="D6" s="6" t="s">
        <v>1</v>
      </c>
      <c r="E6" s="6" t="s">
        <v>2</v>
      </c>
      <c r="F6" s="6"/>
      <c r="G6" s="6" t="s">
        <v>0</v>
      </c>
      <c r="H6" s="6" t="s">
        <v>1</v>
      </c>
      <c r="I6" s="6" t="s">
        <v>2</v>
      </c>
      <c r="J6" s="6"/>
      <c r="K6" s="6" t="s">
        <v>0</v>
      </c>
      <c r="L6" s="6" t="s">
        <v>1</v>
      </c>
      <c r="M6" s="6" t="s">
        <v>2</v>
      </c>
      <c r="N6" s="6"/>
      <c r="O6" s="6" t="s">
        <v>0</v>
      </c>
      <c r="P6" s="6" t="s">
        <v>1</v>
      </c>
      <c r="Q6" s="6" t="s">
        <v>2</v>
      </c>
      <c r="R6" s="6"/>
      <c r="S6" s="6" t="s">
        <v>0</v>
      </c>
      <c r="T6" s="6" t="s">
        <v>1</v>
      </c>
      <c r="U6" s="6" t="s">
        <v>2</v>
      </c>
      <c r="V6" s="4"/>
      <c r="Z6" s="5"/>
      <c r="AA6" s="4"/>
      <c r="AB6" s="4"/>
      <c r="AC6" s="5"/>
      <c r="AD6" s="5"/>
      <c r="AE6" s="5"/>
      <c r="AF6" s="5"/>
    </row>
    <row r="7" spans="2:32" s="10" customFormat="1" ht="49" customHeight="1">
      <c r="B7" s="17" t="s">
        <v>13</v>
      </c>
      <c r="C7" s="12">
        <v>2.9893752593207199</v>
      </c>
      <c r="D7" s="12">
        <v>3.3881488328800602</v>
      </c>
      <c r="E7" s="13" t="s">
        <v>4</v>
      </c>
      <c r="F7" s="13"/>
      <c r="G7" s="12">
        <v>3.2044624015646699</v>
      </c>
      <c r="H7" s="12">
        <v>3.7876726178871198</v>
      </c>
      <c r="I7" s="13" t="s">
        <v>3</v>
      </c>
      <c r="J7" s="13"/>
      <c r="K7" s="12">
        <v>3.2</v>
      </c>
      <c r="L7" s="12">
        <v>3.8683142868291802</v>
      </c>
      <c r="M7" s="13" t="s">
        <v>4</v>
      </c>
      <c r="N7" s="13"/>
      <c r="O7" s="12">
        <v>2.90168035295856</v>
      </c>
      <c r="P7" s="12">
        <v>3.2028309964502499</v>
      </c>
      <c r="Q7" s="13" t="s">
        <v>4</v>
      </c>
      <c r="R7" s="13"/>
      <c r="S7" s="12">
        <v>2.8980322003577799</v>
      </c>
      <c r="T7" s="12">
        <v>3.5101050787885</v>
      </c>
      <c r="U7" s="13" t="s">
        <v>5</v>
      </c>
      <c r="Z7" s="5"/>
      <c r="AA7" s="4"/>
      <c r="AB7" s="4"/>
      <c r="AC7" s="5"/>
      <c r="AD7" s="5"/>
      <c r="AE7" s="5"/>
      <c r="AF7" s="5"/>
    </row>
    <row r="8" spans="2:32" s="10" customFormat="1" ht="49" customHeight="1">
      <c r="B8" s="18" t="s">
        <v>14</v>
      </c>
      <c r="C8" s="14">
        <v>3.8858137193608999</v>
      </c>
      <c r="D8" s="14">
        <v>1.3577645995982599</v>
      </c>
      <c r="E8" s="7" t="s">
        <v>7</v>
      </c>
      <c r="F8" s="7"/>
      <c r="G8" s="14">
        <v>3.8518631267843602</v>
      </c>
      <c r="H8" s="14">
        <v>1.349591993984</v>
      </c>
      <c r="I8" s="7" t="s">
        <v>6</v>
      </c>
      <c r="J8" s="7"/>
      <c r="K8" s="14">
        <v>3.47493410119292</v>
      </c>
      <c r="L8" s="14">
        <v>1.4396693202073401</v>
      </c>
      <c r="M8" s="7" t="s">
        <v>6</v>
      </c>
      <c r="N8" s="7"/>
      <c r="O8" s="14">
        <v>3.9042620771016399</v>
      </c>
      <c r="P8" s="14">
        <v>1.3586028711354401</v>
      </c>
      <c r="Q8" s="7" t="s">
        <v>7</v>
      </c>
      <c r="R8" s="7"/>
      <c r="S8" s="14">
        <v>3.5943447764221399</v>
      </c>
      <c r="T8" s="14">
        <v>1.47722292106986</v>
      </c>
      <c r="U8" s="7" t="s">
        <v>6</v>
      </c>
      <c r="Z8" s="5"/>
      <c r="AA8" s="4"/>
      <c r="AB8" s="4"/>
      <c r="AC8" s="5"/>
      <c r="AD8" s="5"/>
      <c r="AE8" s="5"/>
      <c r="AF8" s="5"/>
    </row>
    <row r="9" spans="2:32" s="10" customFormat="1" ht="49" customHeight="1">
      <c r="B9" s="18" t="s">
        <v>15</v>
      </c>
      <c r="C9" s="14">
        <v>4.0337109433622498</v>
      </c>
      <c r="D9" s="14">
        <v>1.2480808349654799</v>
      </c>
      <c r="E9" s="7" t="s">
        <v>6</v>
      </c>
      <c r="F9" s="7"/>
      <c r="G9" s="14">
        <v>3.9875009251787201</v>
      </c>
      <c r="H9" s="14">
        <v>1.24327616048478</v>
      </c>
      <c r="I9" s="7" t="s">
        <v>6</v>
      </c>
      <c r="J9" s="7"/>
      <c r="K9" s="14">
        <v>3.6197082662435598</v>
      </c>
      <c r="L9" s="14">
        <v>1.3537783138469199</v>
      </c>
      <c r="M9" s="7" t="s">
        <v>6</v>
      </c>
      <c r="N9" s="7"/>
      <c r="O9" s="14">
        <v>4.0570492639202502</v>
      </c>
      <c r="P9" s="14">
        <v>1.24702685805822</v>
      </c>
      <c r="Q9" s="7" t="s">
        <v>6</v>
      </c>
      <c r="R9" s="7"/>
      <c r="S9" s="14">
        <v>3.7546504688962998</v>
      </c>
      <c r="T9" s="14">
        <v>1.37958404547154</v>
      </c>
      <c r="U9" s="7" t="s">
        <v>6</v>
      </c>
      <c r="Z9" s="5"/>
      <c r="AA9" s="4"/>
      <c r="AB9" s="4"/>
      <c r="AC9" s="5"/>
      <c r="AD9" s="5"/>
      <c r="AE9" s="5"/>
      <c r="AF9" s="5"/>
    </row>
    <row r="10" spans="2:32" s="10" customFormat="1" ht="49" customHeight="1">
      <c r="B10" s="18" t="s">
        <v>16</v>
      </c>
      <c r="C10" s="14">
        <v>3.8264142352069999</v>
      </c>
      <c r="D10" s="14">
        <v>1.1821435071192701</v>
      </c>
      <c r="E10" s="7" t="s">
        <v>7</v>
      </c>
      <c r="F10" s="7"/>
      <c r="G10" s="14">
        <v>3.76650826090646</v>
      </c>
      <c r="H10" s="14">
        <v>1.1802792630227601</v>
      </c>
      <c r="I10" s="7" t="s">
        <v>6</v>
      </c>
      <c r="J10" s="7"/>
      <c r="K10" s="14">
        <v>3.3888731640908101</v>
      </c>
      <c r="L10" s="14">
        <v>1.2696587989372199</v>
      </c>
      <c r="M10" s="7" t="s">
        <v>6</v>
      </c>
      <c r="N10" s="7"/>
      <c r="O10" s="14">
        <v>3.8567780273313201</v>
      </c>
      <c r="P10" s="14">
        <v>1.17904324348276</v>
      </c>
      <c r="Q10" s="7" t="s">
        <v>7</v>
      </c>
      <c r="R10" s="7"/>
      <c r="S10" s="14">
        <v>3.4332883172349198</v>
      </c>
      <c r="T10" s="14">
        <v>1.31411683796541</v>
      </c>
      <c r="U10" s="7" t="s">
        <v>6</v>
      </c>
      <c r="Z10" s="5"/>
      <c r="AA10" s="4"/>
      <c r="AB10" s="4"/>
      <c r="AC10" s="5"/>
      <c r="AD10" s="5"/>
      <c r="AE10" s="5"/>
      <c r="AF10" s="5"/>
    </row>
    <row r="11" spans="2:32" s="10" customFormat="1" ht="49" customHeight="1" thickBot="1">
      <c r="B11" s="19" t="s">
        <v>17</v>
      </c>
      <c r="C11" s="15">
        <v>3.6708443670272302</v>
      </c>
      <c r="D11" s="15">
        <v>1.29882410302312</v>
      </c>
      <c r="E11" s="16" t="s">
        <v>10</v>
      </c>
      <c r="F11" s="16"/>
      <c r="G11" s="15">
        <v>3.6061805823271702</v>
      </c>
      <c r="H11" s="15">
        <v>1.29797369994167</v>
      </c>
      <c r="I11" s="16" t="s">
        <v>8</v>
      </c>
      <c r="J11" s="16"/>
      <c r="K11" s="15">
        <v>3.0223466019559</v>
      </c>
      <c r="L11" s="15">
        <v>1.4110003334424901</v>
      </c>
      <c r="M11" s="16" t="s">
        <v>9</v>
      </c>
      <c r="N11" s="16"/>
      <c r="O11" s="15">
        <v>3.7037202839196599</v>
      </c>
      <c r="P11" s="15">
        <v>1.2950177129493401</v>
      </c>
      <c r="Q11" s="16" t="s">
        <v>11</v>
      </c>
      <c r="R11" s="16"/>
      <c r="S11" s="15">
        <v>3.1929588093833599</v>
      </c>
      <c r="T11" s="15">
        <v>1.4467728379214999</v>
      </c>
      <c r="U11" s="16" t="s">
        <v>12</v>
      </c>
      <c r="Z11" s="5"/>
      <c r="AA11" s="4"/>
      <c r="AB11" s="4"/>
      <c r="AC11" s="5"/>
      <c r="AD11" s="5"/>
      <c r="AE11" s="5"/>
      <c r="AF11" s="5"/>
    </row>
    <row r="12" spans="2:32">
      <c r="Z12" s="5"/>
      <c r="AA12" s="4"/>
      <c r="AB12" s="4"/>
      <c r="AC12" s="5"/>
      <c r="AD12" s="5"/>
      <c r="AE12" s="5"/>
      <c r="AF12" s="5"/>
    </row>
    <row r="13" spans="2:32">
      <c r="Z13" s="5"/>
      <c r="AA13" s="4"/>
      <c r="AB13" s="4"/>
      <c r="AC13" s="5"/>
      <c r="AD13" s="5"/>
      <c r="AE13" s="5"/>
      <c r="AF13" s="5"/>
    </row>
    <row r="14" spans="2:32">
      <c r="Z14" s="5"/>
      <c r="AA14" s="4"/>
      <c r="AB14" s="4"/>
      <c r="AC14" s="5"/>
      <c r="AD14" s="5"/>
      <c r="AE14" s="5"/>
      <c r="AF14" s="5"/>
    </row>
    <row r="15" spans="2:32">
      <c r="Z15" s="5"/>
      <c r="AA15" s="4"/>
      <c r="AB15" s="4"/>
      <c r="AC15" s="5"/>
      <c r="AD15" s="5"/>
      <c r="AE15" s="5"/>
      <c r="AF15" s="5"/>
    </row>
    <row r="16" spans="2:32">
      <c r="Z16" s="5"/>
      <c r="AA16" s="4"/>
      <c r="AB16" s="4"/>
      <c r="AC16" s="5"/>
      <c r="AD16" s="5"/>
      <c r="AE16" s="5"/>
      <c r="AF16" s="5"/>
    </row>
    <row r="17" spans="26:32">
      <c r="Z17" s="5"/>
      <c r="AA17" s="4"/>
      <c r="AB17" s="4"/>
      <c r="AC17" s="5"/>
      <c r="AD17" s="5"/>
      <c r="AE17" s="5"/>
      <c r="AF17" s="5"/>
    </row>
    <row r="18" spans="26:32">
      <c r="Z18" s="5"/>
      <c r="AA18" s="4"/>
      <c r="AB18" s="4"/>
      <c r="AC18" s="5"/>
      <c r="AD18" s="5"/>
      <c r="AE18" s="5"/>
      <c r="AF18" s="5"/>
    </row>
    <row r="19" spans="26:32">
      <c r="Z19" s="5"/>
      <c r="AA19" s="4"/>
      <c r="AB19" s="4"/>
      <c r="AC19" s="5"/>
      <c r="AD19" s="5"/>
      <c r="AE19" s="5"/>
      <c r="AF19" s="5"/>
    </row>
    <row r="20" spans="26:32">
      <c r="Z20" s="5"/>
      <c r="AA20" s="4"/>
      <c r="AB20" s="4"/>
      <c r="AC20" s="5"/>
      <c r="AD20" s="5"/>
      <c r="AE20" s="5"/>
      <c r="AF20" s="5"/>
    </row>
    <row r="21" spans="26:32">
      <c r="Z21" s="5"/>
      <c r="AA21" s="4"/>
      <c r="AB21" s="4"/>
      <c r="AC21" s="5"/>
      <c r="AD21" s="5"/>
      <c r="AE21" s="5"/>
      <c r="AF21" s="5"/>
    </row>
    <row r="22" spans="26:32">
      <c r="Z22" s="5"/>
      <c r="AA22" s="4"/>
      <c r="AB22" s="4"/>
      <c r="AC22" s="5"/>
      <c r="AD22" s="5"/>
      <c r="AE22" s="5"/>
      <c r="AF22" s="5"/>
    </row>
    <row r="23" spans="26:32">
      <c r="Z23" s="5"/>
      <c r="AA23" s="4"/>
      <c r="AB23" s="4"/>
      <c r="AC23" s="5"/>
      <c r="AD23" s="5"/>
      <c r="AE23" s="5"/>
      <c r="AF23" s="5"/>
    </row>
    <row r="24" spans="26:32">
      <c r="Z24" s="5"/>
      <c r="AA24" s="4"/>
      <c r="AB24" s="4"/>
      <c r="AC24" s="5"/>
      <c r="AD24" s="5"/>
      <c r="AE24" s="5"/>
      <c r="AF24" s="5"/>
    </row>
    <row r="25" spans="26:32">
      <c r="Z25" s="5"/>
      <c r="AA25" s="4"/>
      <c r="AB25" s="4"/>
      <c r="AC25" s="5"/>
      <c r="AD25" s="5"/>
      <c r="AE25" s="5"/>
      <c r="AF25" s="5"/>
    </row>
    <row r="26" spans="26:32">
      <c r="Z26" s="5"/>
      <c r="AA26" s="4"/>
      <c r="AB26" s="4"/>
      <c r="AC26" s="5"/>
      <c r="AD26" s="5"/>
      <c r="AE26" s="5"/>
      <c r="AF26" s="5"/>
    </row>
    <row r="27" spans="26:32">
      <c r="Z27" s="5"/>
      <c r="AA27" s="4"/>
      <c r="AB27" s="4"/>
      <c r="AC27" s="5"/>
      <c r="AD27" s="5"/>
      <c r="AE27" s="5"/>
      <c r="AF27" s="5"/>
    </row>
  </sheetData>
  <mergeCells count="14">
    <mergeCell ref="C4:E5"/>
    <mergeCell ref="C2:E3"/>
    <mergeCell ref="O3:U3"/>
    <mergeCell ref="O2:U2"/>
    <mergeCell ref="G5:I5"/>
    <mergeCell ref="K5:M5"/>
    <mergeCell ref="O5:Q5"/>
    <mergeCell ref="S5:U5"/>
    <mergeCell ref="G4:I4"/>
    <mergeCell ref="K4:M4"/>
    <mergeCell ref="G3:M3"/>
    <mergeCell ref="G2:M2"/>
    <mergeCell ref="O4:Q4"/>
    <mergeCell ref="S4:U4"/>
  </mergeCells>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3467F-90FA-8C4A-A01F-ADF7D75477E3}">
  <dimension ref="C2:K53"/>
  <sheetViews>
    <sheetView showGridLines="0" tabSelected="1" workbookViewId="0">
      <selection activeCell="J32" sqref="J32"/>
    </sheetView>
  </sheetViews>
  <sheetFormatPr baseColWidth="10" defaultRowHeight="16"/>
  <cols>
    <col min="3" max="3" width="35.83203125" style="59" customWidth="1"/>
    <col min="4" max="4" width="29.1640625" style="59" customWidth="1"/>
    <col min="5" max="5" width="29.1640625" customWidth="1"/>
    <col min="6" max="6" width="36.6640625" customWidth="1"/>
    <col min="10" max="11" width="41" customWidth="1"/>
  </cols>
  <sheetData>
    <row r="2" spans="3:11" ht="20" thickBot="1">
      <c r="C2" s="131" t="s">
        <v>330</v>
      </c>
      <c r="D2" s="131"/>
      <c r="E2" s="107"/>
      <c r="F2" s="107"/>
    </row>
    <row r="3" spans="3:11" ht="91" customHeight="1">
      <c r="C3" s="149" t="s">
        <v>91</v>
      </c>
      <c r="D3" s="54" t="s">
        <v>483</v>
      </c>
      <c r="E3" s="54" t="s">
        <v>484</v>
      </c>
      <c r="F3" s="54" t="s">
        <v>485</v>
      </c>
      <c r="J3" s="113" t="s">
        <v>91</v>
      </c>
      <c r="K3" s="148" t="s">
        <v>482</v>
      </c>
    </row>
    <row r="4" spans="3:11" ht="23" customHeight="1">
      <c r="C4" s="5" t="s">
        <v>312</v>
      </c>
      <c r="D4" s="111">
        <v>2.882E-3</v>
      </c>
      <c r="E4" s="111">
        <v>0.28435700000000003</v>
      </c>
      <c r="F4" s="111">
        <f>VLOOKUP(C4,$J$4:$K$25,2,FALSE)</f>
        <v>1.3968E-2</v>
      </c>
      <c r="J4" s="5" t="s">
        <v>328</v>
      </c>
      <c r="K4" s="111">
        <v>2.3629000000000001E-2</v>
      </c>
    </row>
    <row r="5" spans="3:11" ht="23" customHeight="1">
      <c r="C5" s="5" t="s">
        <v>313</v>
      </c>
      <c r="D5" s="111">
        <v>1.534E-3</v>
      </c>
      <c r="E5" s="111">
        <v>0.15131600000000001</v>
      </c>
      <c r="F5" s="111">
        <f>VLOOKUP(C5,$J$4:$K$25,2,FALSE)</f>
        <v>6.1700000000000001E-3</v>
      </c>
      <c r="J5" s="5" t="s">
        <v>310</v>
      </c>
      <c r="K5" s="111">
        <v>2.1453E-2</v>
      </c>
    </row>
    <row r="6" spans="3:11" ht="23" customHeight="1">
      <c r="C6" s="5" t="s">
        <v>315</v>
      </c>
      <c r="D6" s="111">
        <v>1.2520000000000001E-3</v>
      </c>
      <c r="E6" s="111">
        <v>0.123538</v>
      </c>
      <c r="F6" s="111">
        <f>VLOOKUP(C6,$J$4:$K$25,2,FALSE)</f>
        <v>1.1266999999999999E-2</v>
      </c>
      <c r="J6" s="5" t="s">
        <v>314</v>
      </c>
      <c r="K6" s="111">
        <v>1.8987E-2</v>
      </c>
    </row>
    <row r="7" spans="3:11" ht="23" customHeight="1">
      <c r="C7" s="5" t="s">
        <v>324</v>
      </c>
      <c r="D7" s="111">
        <v>7.7099999999999998E-4</v>
      </c>
      <c r="E7" s="111">
        <v>7.6022999999999993E-2</v>
      </c>
      <c r="F7" s="111">
        <f>VLOOKUP(C7,$J$4:$K$25,2,FALSE)</f>
        <v>1.1545E-2</v>
      </c>
      <c r="J7" s="5" t="s">
        <v>327</v>
      </c>
      <c r="K7" s="111">
        <v>1.8692E-2</v>
      </c>
    </row>
    <row r="8" spans="3:11" ht="23" customHeight="1">
      <c r="C8" s="5" t="s">
        <v>317</v>
      </c>
      <c r="D8" s="111">
        <v>5.9999999999999995E-4</v>
      </c>
      <c r="E8" s="111">
        <v>5.9211E-2</v>
      </c>
      <c r="F8" s="111">
        <f>VLOOKUP(C8,$J$4:$K$25,2,FALSE)</f>
        <v>1.1131E-2</v>
      </c>
      <c r="J8" s="5" t="s">
        <v>322</v>
      </c>
      <c r="K8" s="111">
        <v>1.4775999999999999E-2</v>
      </c>
    </row>
    <row r="9" spans="3:11" ht="23" customHeight="1">
      <c r="C9" s="5" t="s">
        <v>326</v>
      </c>
      <c r="D9" s="111">
        <v>4.37E-4</v>
      </c>
      <c r="E9" s="111">
        <v>4.3129000000000001E-2</v>
      </c>
      <c r="F9" s="111">
        <f>VLOOKUP(C9,$J$4:$K$25,2,FALSE)</f>
        <v>1.077E-2</v>
      </c>
      <c r="J9" s="5" t="s">
        <v>312</v>
      </c>
      <c r="K9" s="111">
        <v>1.3968E-2</v>
      </c>
    </row>
    <row r="10" spans="3:11" ht="23" customHeight="1">
      <c r="C10" s="5" t="s">
        <v>328</v>
      </c>
      <c r="D10" s="111">
        <v>3.9300000000000001E-4</v>
      </c>
      <c r="E10" s="111">
        <v>3.8743E-2</v>
      </c>
      <c r="F10" s="111">
        <f>VLOOKUP(C10,$J$4:$K$25,2,FALSE)</f>
        <v>2.3629000000000001E-2</v>
      </c>
      <c r="J10" s="5" t="s">
        <v>324</v>
      </c>
      <c r="K10" s="111">
        <v>1.1545E-2</v>
      </c>
    </row>
    <row r="11" spans="3:11" ht="23" customHeight="1">
      <c r="C11" s="5" t="s">
        <v>310</v>
      </c>
      <c r="D11" s="111">
        <v>3.2600000000000001E-4</v>
      </c>
      <c r="E11" s="111">
        <v>3.2163999999999998E-2</v>
      </c>
      <c r="F11" s="111">
        <f>VLOOKUP(C11,$J$4:$K$25,2,FALSE)</f>
        <v>2.1453E-2</v>
      </c>
      <c r="J11" s="5" t="s">
        <v>311</v>
      </c>
      <c r="K11" s="111">
        <v>1.1384999999999999E-2</v>
      </c>
    </row>
    <row r="12" spans="3:11" ht="23" customHeight="1">
      <c r="C12" s="5" t="s">
        <v>320</v>
      </c>
      <c r="D12" s="111">
        <v>3.0400000000000002E-4</v>
      </c>
      <c r="E12" s="111">
        <v>2.9971000000000001E-2</v>
      </c>
      <c r="F12" s="111">
        <f>VLOOKUP(C12,$J$4:$K$25,2,FALSE)</f>
        <v>3.8089999999999999E-3</v>
      </c>
      <c r="J12" s="5" t="s">
        <v>315</v>
      </c>
      <c r="K12" s="111">
        <v>1.1266999999999999E-2</v>
      </c>
    </row>
    <row r="13" spans="3:11" ht="23" customHeight="1">
      <c r="C13" s="5" t="s">
        <v>322</v>
      </c>
      <c r="D13" s="111">
        <v>2.7399999999999999E-4</v>
      </c>
      <c r="E13" s="111">
        <v>2.7047000000000002E-2</v>
      </c>
      <c r="F13" s="111">
        <f>VLOOKUP(C13,$J$4:$K$25,2,FALSE)</f>
        <v>1.4775999999999999E-2</v>
      </c>
      <c r="J13" s="5" t="s">
        <v>317</v>
      </c>
      <c r="K13" s="111">
        <v>1.1131E-2</v>
      </c>
    </row>
    <row r="14" spans="3:11" ht="23" customHeight="1">
      <c r="C14" s="5" t="s">
        <v>90</v>
      </c>
      <c r="D14" s="111">
        <v>2.5900000000000001E-4</v>
      </c>
      <c r="E14" s="111">
        <v>2.5585E-2</v>
      </c>
      <c r="F14" s="111">
        <f>VLOOKUP(C14,$J$4:$K$25,2,FALSE)</f>
        <v>1.0526000000000001E-2</v>
      </c>
      <c r="J14" s="5" t="s">
        <v>318</v>
      </c>
      <c r="K14" s="111">
        <v>1.0843999999999999E-2</v>
      </c>
    </row>
    <row r="15" spans="3:11" ht="23" customHeight="1">
      <c r="C15" s="5" t="s">
        <v>314</v>
      </c>
      <c r="D15" s="111">
        <v>2.4499999999999999E-4</v>
      </c>
      <c r="E15" s="111">
        <v>2.4122999999999999E-2</v>
      </c>
      <c r="F15" s="111">
        <f>VLOOKUP(C15,$J$4:$K$25,2,FALSE)</f>
        <v>1.8987E-2</v>
      </c>
      <c r="J15" s="5" t="s">
        <v>326</v>
      </c>
      <c r="K15" s="111">
        <v>1.077E-2</v>
      </c>
    </row>
    <row r="16" spans="3:11" ht="23" customHeight="1">
      <c r="C16" s="5" t="s">
        <v>318</v>
      </c>
      <c r="D16" s="111">
        <v>2.0699999999999999E-4</v>
      </c>
      <c r="E16" s="111">
        <v>2.0468E-2</v>
      </c>
      <c r="F16" s="111">
        <f>VLOOKUP(C16,$J$4:$K$25,2,FALSE)</f>
        <v>1.0843999999999999E-2</v>
      </c>
      <c r="J16" s="5" t="s">
        <v>90</v>
      </c>
      <c r="K16" s="111">
        <v>1.0526000000000001E-2</v>
      </c>
    </row>
    <row r="17" spans="3:11" ht="23" customHeight="1">
      <c r="C17" s="5" t="s">
        <v>311</v>
      </c>
      <c r="D17" s="111">
        <v>1.7799999999999999E-4</v>
      </c>
      <c r="E17" s="111">
        <v>1.7544000000000001E-2</v>
      </c>
      <c r="F17" s="111">
        <f>VLOOKUP(C17,$J$4:$K$25,2,FALSE)</f>
        <v>1.1384999999999999E-2</v>
      </c>
      <c r="J17" s="5" t="s">
        <v>323</v>
      </c>
      <c r="K17" s="111">
        <v>1.0309E-2</v>
      </c>
    </row>
    <row r="18" spans="3:11" ht="23" customHeight="1">
      <c r="C18" s="5" t="s">
        <v>316</v>
      </c>
      <c r="D18" s="111">
        <v>1.4100000000000001E-4</v>
      </c>
      <c r="E18" s="111">
        <v>1.3889E-2</v>
      </c>
      <c r="F18" s="111">
        <f>VLOOKUP(C18,$J$4:$K$25,2,FALSE)</f>
        <v>6.4780000000000003E-3</v>
      </c>
      <c r="J18" s="5" t="s">
        <v>321</v>
      </c>
      <c r="K18" s="111">
        <v>1.0264000000000001E-2</v>
      </c>
    </row>
    <row r="19" spans="3:11" ht="23" customHeight="1">
      <c r="C19" s="5" t="s">
        <v>329</v>
      </c>
      <c r="D19" s="111">
        <v>1.1900000000000001E-4</v>
      </c>
      <c r="E19" s="111">
        <v>1.1696E-2</v>
      </c>
      <c r="F19" s="111">
        <f>VLOOKUP(C19,$J$4:$K$25,2,FALSE)</f>
        <v>7.1520000000000004E-3</v>
      </c>
      <c r="J19" s="5" t="s">
        <v>329</v>
      </c>
      <c r="K19" s="111">
        <v>7.1520000000000004E-3</v>
      </c>
    </row>
    <row r="20" spans="3:11" ht="23" customHeight="1">
      <c r="C20" s="5" t="s">
        <v>321</v>
      </c>
      <c r="D20" s="111">
        <v>1.0399999999999999E-4</v>
      </c>
      <c r="E20" s="111">
        <v>1.0234E-2</v>
      </c>
      <c r="F20" s="111">
        <f>VLOOKUP(C20,$J$4:$K$25,2,FALSE)</f>
        <v>1.0264000000000001E-2</v>
      </c>
      <c r="J20" s="5" t="s">
        <v>316</v>
      </c>
      <c r="K20" s="111">
        <v>6.4780000000000003E-3</v>
      </c>
    </row>
    <row r="21" spans="3:11" ht="23" customHeight="1">
      <c r="C21" s="5" t="s">
        <v>309</v>
      </c>
      <c r="D21" s="111">
        <v>3.6999999999999998E-5</v>
      </c>
      <c r="E21" s="111">
        <v>3.6549999999999998E-3</v>
      </c>
      <c r="F21" s="111">
        <f>VLOOKUP(C21,$J$4:$K$25,2,FALSE)</f>
        <v>5.476E-3</v>
      </c>
      <c r="J21" s="5" t="s">
        <v>313</v>
      </c>
      <c r="K21" s="111">
        <v>6.1700000000000001E-3</v>
      </c>
    </row>
    <row r="22" spans="3:11" ht="23" customHeight="1">
      <c r="C22" s="5" t="s">
        <v>327</v>
      </c>
      <c r="D22" s="111">
        <v>3.0000000000000001E-5</v>
      </c>
      <c r="E22" s="111">
        <v>2.9239999999999999E-3</v>
      </c>
      <c r="F22" s="111">
        <f>VLOOKUP(C22,$J$4:$K$25,2,FALSE)</f>
        <v>1.8692E-2</v>
      </c>
      <c r="J22" s="5" t="s">
        <v>309</v>
      </c>
      <c r="K22" s="111">
        <v>5.476E-3</v>
      </c>
    </row>
    <row r="23" spans="3:11" ht="23" customHeight="1">
      <c r="C23" s="5" t="s">
        <v>325</v>
      </c>
      <c r="D23" s="111">
        <v>2.1999999999999999E-5</v>
      </c>
      <c r="E23" s="111">
        <v>2.1930000000000001E-3</v>
      </c>
      <c r="F23" s="111">
        <f>VLOOKUP(C23,$J$4:$K$25,2,FALSE)</f>
        <v>2.385E-3</v>
      </c>
      <c r="J23" s="5" t="s">
        <v>319</v>
      </c>
      <c r="K23" s="111">
        <v>5.2490000000000002E-3</v>
      </c>
    </row>
    <row r="24" spans="3:11" ht="23" customHeight="1">
      <c r="C24" s="5" t="s">
        <v>319</v>
      </c>
      <c r="D24" s="111">
        <v>1.5E-5</v>
      </c>
      <c r="E24" s="111">
        <v>1.462E-3</v>
      </c>
      <c r="F24" s="111">
        <f>VLOOKUP(C24,$J$4:$K$25,2,FALSE)</f>
        <v>5.2490000000000002E-3</v>
      </c>
      <c r="J24" s="5" t="s">
        <v>320</v>
      </c>
      <c r="K24" s="111">
        <v>3.8089999999999999E-3</v>
      </c>
    </row>
    <row r="25" spans="3:11" ht="23" customHeight="1" thickBot="1">
      <c r="C25" s="114" t="s">
        <v>323</v>
      </c>
      <c r="D25" s="112">
        <v>6.9999999999999999E-6</v>
      </c>
      <c r="E25" s="112">
        <v>7.3099999999999999E-4</v>
      </c>
      <c r="F25" s="112">
        <f>VLOOKUP(C25,$J$4:$K$25,2,FALSE)</f>
        <v>1.0309E-2</v>
      </c>
      <c r="J25" s="114" t="s">
        <v>325</v>
      </c>
      <c r="K25" s="112">
        <v>2.385E-3</v>
      </c>
    </row>
    <row r="26" spans="3:11" ht="23" customHeight="1">
      <c r="I26" s="146"/>
    </row>
    <row r="27" spans="3:11" ht="23" customHeight="1">
      <c r="I27" s="73"/>
      <c r="J27" s="5"/>
      <c r="K27" s="111"/>
    </row>
    <row r="28" spans="3:11" ht="23" customHeight="1">
      <c r="I28" s="74"/>
    </row>
    <row r="29" spans="3:11" ht="19">
      <c r="C29" s="105"/>
      <c r="D29"/>
    </row>
    <row r="30" spans="3:11" ht="19">
      <c r="C30" s="105"/>
      <c r="D30"/>
    </row>
    <row r="31" spans="3:11" ht="19">
      <c r="C31" s="105"/>
      <c r="D31"/>
    </row>
    <row r="51" spans="3:6">
      <c r="C51" s="146"/>
      <c r="F51" s="147"/>
    </row>
    <row r="52" spans="3:6" ht="17">
      <c r="C52" s="73"/>
    </row>
    <row r="53" spans="3:6">
      <c r="C53" s="74"/>
    </row>
  </sheetData>
  <sortState xmlns:xlrd2="http://schemas.microsoft.com/office/spreadsheetml/2017/richdata2" ref="J4:K25">
    <sortCondition descending="1" ref="K4"/>
  </sortState>
  <mergeCells count="1">
    <mergeCell ref="C2:D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7E138-3FD2-2B45-9F03-4DEF0BC710BE}">
  <dimension ref="B1:D17"/>
  <sheetViews>
    <sheetView showGridLines="0" workbookViewId="0">
      <selection activeCell="G2" sqref="G2"/>
    </sheetView>
  </sheetViews>
  <sheetFormatPr baseColWidth="10" defaultRowHeight="16"/>
  <cols>
    <col min="2" max="2" width="20" customWidth="1"/>
    <col min="3" max="4" width="18.6640625" style="21" customWidth="1"/>
  </cols>
  <sheetData>
    <row r="1" spans="2:4">
      <c r="B1" s="24"/>
      <c r="C1" s="23"/>
      <c r="D1" s="23"/>
    </row>
    <row r="2" spans="2:4" ht="20" thickBot="1">
      <c r="B2" s="132" t="s">
        <v>36</v>
      </c>
      <c r="C2" s="133"/>
      <c r="D2" s="133"/>
    </row>
    <row r="3" spans="2:4" ht="19">
      <c r="B3" s="25"/>
      <c r="C3" s="30" t="s">
        <v>20</v>
      </c>
      <c r="D3" s="30" t="s">
        <v>21</v>
      </c>
    </row>
    <row r="4" spans="2:4" ht="19">
      <c r="B4" s="26" t="s">
        <v>14</v>
      </c>
      <c r="C4" s="27">
        <v>3.8494830000000002</v>
      </c>
      <c r="D4" s="27">
        <v>3.9006310000000002</v>
      </c>
    </row>
    <row r="5" spans="2:4" ht="19">
      <c r="B5" s="26" t="s">
        <v>15</v>
      </c>
      <c r="C5" s="27">
        <v>3.9851760000000001</v>
      </c>
      <c r="D5" s="27">
        <v>4.0535100000000002</v>
      </c>
    </row>
    <row r="6" spans="2:4" ht="19">
      <c r="B6" s="26" t="s">
        <v>16</v>
      </c>
      <c r="C6" s="27">
        <v>3.7641260000000001</v>
      </c>
      <c r="D6" s="27">
        <v>3.8518020000000002</v>
      </c>
    </row>
    <row r="7" spans="2:4" ht="20" thickBot="1">
      <c r="B7" s="28" t="s">
        <v>17</v>
      </c>
      <c r="C7" s="29">
        <v>3.6030869999999999</v>
      </c>
      <c r="D7" s="29">
        <v>3.6985320000000002</v>
      </c>
    </row>
    <row r="12" spans="2:4" ht="20" thickBot="1">
      <c r="B12" s="132" t="s">
        <v>37</v>
      </c>
      <c r="C12" s="133"/>
      <c r="D12" s="133"/>
    </row>
    <row r="13" spans="2:4" ht="19">
      <c r="B13" s="25"/>
      <c r="C13" s="30" t="s">
        <v>20</v>
      </c>
      <c r="D13" s="30" t="s">
        <v>21</v>
      </c>
    </row>
    <row r="14" spans="2:4" ht="19">
      <c r="B14" s="26" t="s">
        <v>14</v>
      </c>
      <c r="C14" s="27">
        <v>3.85087</v>
      </c>
      <c r="D14" s="27">
        <v>3.9413960000000001</v>
      </c>
    </row>
    <row r="15" spans="2:4" ht="19">
      <c r="B15" s="26" t="s">
        <v>15</v>
      </c>
      <c r="C15" s="27">
        <v>3.989859</v>
      </c>
      <c r="D15" s="27">
        <v>4.0967010000000004</v>
      </c>
    </row>
    <row r="16" spans="2:4" ht="19">
      <c r="B16" s="26" t="s">
        <v>16</v>
      </c>
      <c r="C16" s="27">
        <v>3.7743980000000001</v>
      </c>
      <c r="D16" s="27">
        <v>3.8737629999999998</v>
      </c>
    </row>
    <row r="17" spans="2:4" ht="20" thickBot="1">
      <c r="B17" s="28" t="s">
        <v>17</v>
      </c>
      <c r="C17" s="29">
        <v>3.6002999999999998</v>
      </c>
      <c r="D17" s="29">
        <v>3.71597</v>
      </c>
    </row>
  </sheetData>
  <mergeCells count="2">
    <mergeCell ref="B2:D2"/>
    <mergeCell ref="B12:D1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7C482-EEF6-4640-AD30-BF5A506C75A1}">
  <dimension ref="B2:AD13"/>
  <sheetViews>
    <sheetView showGridLines="0" workbookViewId="0">
      <selection activeCell="C5" sqref="C5"/>
    </sheetView>
  </sheetViews>
  <sheetFormatPr baseColWidth="10" defaultRowHeight="19"/>
  <cols>
    <col min="1" max="1" width="10.83203125" style="3"/>
    <col min="2" max="2" width="11.1640625" style="10" bestFit="1" customWidth="1"/>
    <col min="3" max="3" width="36" style="43" customWidth="1"/>
    <col min="4" max="4" width="9.5" style="43" customWidth="1"/>
    <col min="5" max="5" width="9.5" style="3" customWidth="1"/>
    <col min="6" max="6" width="12.5" style="3" customWidth="1"/>
    <col min="7" max="8" width="9.5" style="3" customWidth="1"/>
    <col min="9" max="9" width="8.33203125" style="3" customWidth="1"/>
    <col min="10" max="14" width="9.5" style="3" customWidth="1"/>
    <col min="15" max="17" width="11" style="3" bestFit="1" customWidth="1"/>
    <col min="18" max="18" width="10.83203125" style="3"/>
    <col min="19" max="19" width="39.83203125" style="3" customWidth="1"/>
    <col min="20" max="16384" width="10.83203125" style="3"/>
  </cols>
  <sheetData>
    <row r="2" spans="2:30" ht="20" thickBot="1">
      <c r="B2" s="134" t="s">
        <v>103</v>
      </c>
      <c r="C2" s="134"/>
      <c r="D2" s="134"/>
      <c r="E2" s="134"/>
      <c r="F2" s="134"/>
      <c r="G2" s="134"/>
      <c r="H2" s="134"/>
      <c r="I2" s="134"/>
      <c r="J2" s="134"/>
      <c r="K2" s="134"/>
      <c r="L2" s="134"/>
      <c r="M2" s="134"/>
      <c r="N2" s="134"/>
    </row>
    <row r="3" spans="2:30" ht="40">
      <c r="B3" s="54" t="s">
        <v>43</v>
      </c>
      <c r="C3" s="54" t="s">
        <v>42</v>
      </c>
      <c r="D3" s="54" t="s">
        <v>41</v>
      </c>
      <c r="E3" s="54" t="s">
        <v>68</v>
      </c>
      <c r="F3" s="54" t="s">
        <v>50</v>
      </c>
      <c r="G3" s="54" t="s">
        <v>69</v>
      </c>
      <c r="H3" s="54" t="s">
        <v>70</v>
      </c>
      <c r="I3" s="54" t="s">
        <v>54</v>
      </c>
      <c r="J3" s="54" t="s">
        <v>71</v>
      </c>
      <c r="K3" s="54" t="s">
        <v>57</v>
      </c>
      <c r="L3" s="54" t="s">
        <v>72</v>
      </c>
      <c r="M3" s="54" t="s">
        <v>73</v>
      </c>
      <c r="N3" s="54" t="s">
        <v>61</v>
      </c>
      <c r="O3" s="35"/>
    </row>
    <row r="4" spans="2:30" ht="64" customHeight="1">
      <c r="B4" s="53">
        <v>303282</v>
      </c>
      <c r="C4" s="51" t="s">
        <v>40</v>
      </c>
      <c r="D4" s="52">
        <v>7</v>
      </c>
      <c r="E4" s="51" t="s">
        <v>74</v>
      </c>
      <c r="F4" s="51" t="s">
        <v>75</v>
      </c>
      <c r="G4" s="51" t="s">
        <v>74</v>
      </c>
      <c r="H4" s="51" t="s">
        <v>74</v>
      </c>
      <c r="I4" s="50" t="s">
        <v>78</v>
      </c>
      <c r="J4" s="51" t="s">
        <v>74</v>
      </c>
      <c r="K4" s="50" t="s">
        <v>78</v>
      </c>
      <c r="L4" s="51" t="s">
        <v>74</v>
      </c>
      <c r="M4" s="51" t="s">
        <v>74</v>
      </c>
      <c r="N4" s="50" t="s">
        <v>78</v>
      </c>
      <c r="O4" s="36"/>
    </row>
    <row r="5" spans="2:30" s="35" customFormat="1" ht="108" customHeight="1">
      <c r="B5" s="53">
        <v>303282</v>
      </c>
      <c r="C5" s="50" t="s">
        <v>38</v>
      </c>
      <c r="D5" s="53">
        <v>33</v>
      </c>
      <c r="E5" s="51" t="s">
        <v>74</v>
      </c>
      <c r="F5" s="51" t="s">
        <v>76</v>
      </c>
      <c r="G5" s="51" t="s">
        <v>74</v>
      </c>
      <c r="H5" s="51" t="s">
        <v>74</v>
      </c>
      <c r="I5" s="50" t="s">
        <v>79</v>
      </c>
      <c r="J5" s="51" t="s">
        <v>74</v>
      </c>
      <c r="K5" s="50" t="s">
        <v>81</v>
      </c>
      <c r="L5" s="51" t="s">
        <v>74</v>
      </c>
      <c r="M5" s="51" t="s">
        <v>74</v>
      </c>
      <c r="N5" s="50" t="s">
        <v>83</v>
      </c>
      <c r="O5" s="36"/>
    </row>
    <row r="6" spans="2:30" s="36" customFormat="1" ht="108" customHeight="1" thickBot="1">
      <c r="B6" s="56">
        <v>303282</v>
      </c>
      <c r="C6" s="57" t="s">
        <v>39</v>
      </c>
      <c r="D6" s="56">
        <v>27</v>
      </c>
      <c r="E6" s="58" t="s">
        <v>74</v>
      </c>
      <c r="F6" s="58" t="s">
        <v>77</v>
      </c>
      <c r="G6" s="58" t="s">
        <v>74</v>
      </c>
      <c r="H6" s="58" t="s">
        <v>74</v>
      </c>
      <c r="I6" s="57" t="s">
        <v>80</v>
      </c>
      <c r="J6" s="58" t="s">
        <v>74</v>
      </c>
      <c r="K6" s="57" t="s">
        <v>82</v>
      </c>
      <c r="L6" s="58" t="s">
        <v>74</v>
      </c>
      <c r="M6" s="58" t="s">
        <v>74</v>
      </c>
      <c r="N6" s="57" t="s">
        <v>80</v>
      </c>
    </row>
    <row r="7" spans="2:30" s="36" customFormat="1" ht="27" customHeight="1">
      <c r="B7" s="26"/>
      <c r="C7" s="33"/>
      <c r="D7" s="33"/>
      <c r="E7" s="34"/>
      <c r="F7" s="34"/>
      <c r="G7" s="34"/>
      <c r="H7" s="34"/>
      <c r="I7" s="34"/>
      <c r="J7" s="34"/>
      <c r="K7" s="34"/>
      <c r="L7" s="34"/>
      <c r="M7" s="34"/>
      <c r="N7" s="34"/>
      <c r="O7" s="3"/>
    </row>
    <row r="8" spans="2:30" s="5" customFormat="1">
      <c r="B8" s="135"/>
      <c r="C8" s="135"/>
      <c r="D8" s="135"/>
      <c r="E8" s="135"/>
      <c r="F8" s="135"/>
      <c r="G8" s="135"/>
      <c r="H8" s="135"/>
      <c r="I8" s="135"/>
      <c r="J8" s="135"/>
      <c r="K8" s="135"/>
      <c r="L8" s="135"/>
      <c r="M8" s="135"/>
      <c r="N8" s="135"/>
      <c r="O8" s="3"/>
      <c r="R8" s="3"/>
      <c r="S8" s="3"/>
      <c r="T8" s="3"/>
      <c r="U8" s="3"/>
      <c r="V8" s="3"/>
      <c r="W8" s="3"/>
      <c r="X8" s="3"/>
      <c r="Y8" s="3"/>
      <c r="Z8" s="3"/>
      <c r="AA8" s="3"/>
      <c r="AB8" s="3"/>
      <c r="AC8" s="3"/>
      <c r="AD8" s="3"/>
    </row>
    <row r="9" spans="2:30" s="5" customFormat="1">
      <c r="B9" s="10"/>
      <c r="C9" s="43"/>
      <c r="D9" s="43"/>
      <c r="E9" s="3"/>
      <c r="F9" s="3"/>
      <c r="G9" s="3"/>
      <c r="H9" s="3"/>
      <c r="I9" s="3"/>
      <c r="J9" s="3"/>
      <c r="K9" s="3"/>
      <c r="L9" s="3"/>
      <c r="M9" s="3"/>
      <c r="N9" s="3"/>
      <c r="O9" s="3"/>
      <c r="R9" s="3"/>
      <c r="S9" s="3"/>
      <c r="T9" s="3"/>
      <c r="U9" s="3"/>
      <c r="V9" s="3"/>
      <c r="W9" s="3"/>
      <c r="X9" s="3"/>
      <c r="Y9" s="3"/>
      <c r="Z9" s="3"/>
      <c r="AA9" s="3"/>
      <c r="AB9" s="3"/>
      <c r="AC9" s="3"/>
      <c r="AD9" s="3"/>
    </row>
    <row r="12" spans="2:30">
      <c r="B12" s="35"/>
      <c r="C12" s="35"/>
      <c r="D12" s="44"/>
      <c r="E12" s="44"/>
      <c r="F12" s="44"/>
      <c r="G12" s="44"/>
      <c r="H12" s="44"/>
      <c r="I12" s="44"/>
      <c r="J12" s="44"/>
      <c r="K12" s="44"/>
      <c r="L12" s="44"/>
      <c r="M12" s="44"/>
      <c r="N12" s="44"/>
      <c r="O12" s="44"/>
      <c r="P12" s="44"/>
      <c r="Q12" s="44"/>
    </row>
    <row r="13" spans="2:30">
      <c r="B13" s="45"/>
      <c r="C13" s="45"/>
      <c r="D13" s="46"/>
      <c r="E13" s="46"/>
      <c r="F13" s="46"/>
      <c r="G13" s="46"/>
      <c r="H13" s="46"/>
      <c r="I13" s="46"/>
      <c r="J13" s="46"/>
      <c r="K13" s="46"/>
      <c r="L13" s="47"/>
      <c r="M13" s="46"/>
      <c r="N13" s="46"/>
      <c r="O13" s="46"/>
      <c r="P13" s="46"/>
      <c r="Q13" s="46"/>
    </row>
  </sheetData>
  <mergeCells count="2">
    <mergeCell ref="B2:N2"/>
    <mergeCell ref="B8:N8"/>
  </mergeCells>
  <phoneticPr fontId="29"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5A09F2-6D00-B746-B2BB-D26B2DD99CE9}">
  <dimension ref="B3:N9"/>
  <sheetViews>
    <sheetView showGridLines="0" topLeftCell="C1" workbookViewId="0">
      <selection activeCell="F19" sqref="F19"/>
    </sheetView>
  </sheetViews>
  <sheetFormatPr baseColWidth="10" defaultRowHeight="16"/>
  <cols>
    <col min="5" max="5" width="9.33203125" customWidth="1"/>
    <col min="6" max="6" width="13" customWidth="1"/>
    <col min="7" max="7" width="9.1640625" customWidth="1"/>
    <col min="8" max="9" width="8.33203125" customWidth="1"/>
    <col min="10" max="14" width="9.83203125" customWidth="1"/>
  </cols>
  <sheetData>
    <row r="3" spans="2:14" ht="20" thickBot="1">
      <c r="B3" s="134" t="s">
        <v>102</v>
      </c>
      <c r="C3" s="134"/>
      <c r="D3" s="134"/>
      <c r="E3" s="134"/>
      <c r="F3" s="134"/>
      <c r="G3" s="134"/>
      <c r="H3" s="134"/>
      <c r="I3" s="134"/>
      <c r="J3" s="134"/>
      <c r="K3" s="134"/>
      <c r="L3" s="134"/>
      <c r="M3" s="134"/>
      <c r="N3" s="134"/>
    </row>
    <row r="4" spans="2:14" ht="40">
      <c r="B4" s="54" t="s">
        <v>43</v>
      </c>
      <c r="C4" s="54" t="s">
        <v>42</v>
      </c>
      <c r="D4" s="54" t="s">
        <v>41</v>
      </c>
      <c r="E4" s="54" t="s">
        <v>48</v>
      </c>
      <c r="F4" s="54" t="s">
        <v>49</v>
      </c>
      <c r="G4" s="54" t="s">
        <v>51</v>
      </c>
      <c r="H4" s="54" t="s">
        <v>52</v>
      </c>
      <c r="I4" s="54" t="s">
        <v>62</v>
      </c>
      <c r="J4" s="54" t="s">
        <v>63</v>
      </c>
      <c r="K4" s="54" t="s">
        <v>64</v>
      </c>
      <c r="L4" s="54" t="s">
        <v>65</v>
      </c>
      <c r="M4" s="54" t="s">
        <v>66</v>
      </c>
      <c r="N4" s="54" t="s">
        <v>67</v>
      </c>
    </row>
    <row r="5" spans="2:14" ht="25" customHeight="1">
      <c r="B5" s="48">
        <v>303282</v>
      </c>
      <c r="C5" s="49" t="s">
        <v>84</v>
      </c>
      <c r="D5" s="37">
        <v>7</v>
      </c>
      <c r="E5" s="36">
        <v>0</v>
      </c>
      <c r="F5" s="36">
        <v>0.14285714285714199</v>
      </c>
      <c r="G5" s="36">
        <v>0</v>
      </c>
      <c r="H5" s="36">
        <v>0</v>
      </c>
      <c r="I5" s="36">
        <v>0.28571428571428498</v>
      </c>
      <c r="J5" s="36">
        <v>0</v>
      </c>
      <c r="K5" s="36">
        <v>0.28571428571428498</v>
      </c>
      <c r="L5" s="36">
        <v>0</v>
      </c>
      <c r="M5" s="36">
        <v>0</v>
      </c>
      <c r="N5" s="36">
        <v>0.28571428571428498</v>
      </c>
    </row>
    <row r="6" spans="2:14" ht="25" customHeight="1">
      <c r="B6" s="48">
        <v>303282</v>
      </c>
      <c r="C6" s="49" t="s">
        <v>85</v>
      </c>
      <c r="D6" s="38">
        <v>33</v>
      </c>
      <c r="E6" s="36">
        <v>0</v>
      </c>
      <c r="F6" s="36">
        <v>6.0606060606060601E-2</v>
      </c>
      <c r="G6" s="36">
        <v>0</v>
      </c>
      <c r="H6" s="36">
        <v>0</v>
      </c>
      <c r="I6" s="36">
        <v>6.0606060606060601E-2</v>
      </c>
      <c r="J6" s="36">
        <v>0</v>
      </c>
      <c r="K6" s="36">
        <v>0.12121212121212099</v>
      </c>
      <c r="L6" s="36">
        <v>0</v>
      </c>
      <c r="M6" s="36">
        <v>0</v>
      </c>
      <c r="N6" s="36">
        <v>6.0606060606060601E-2</v>
      </c>
    </row>
    <row r="7" spans="2:14" ht="25" customHeight="1" thickBot="1">
      <c r="B7" s="40">
        <v>303282</v>
      </c>
      <c r="C7" s="41" t="s">
        <v>86</v>
      </c>
      <c r="D7" s="40">
        <v>27</v>
      </c>
      <c r="E7" s="39">
        <v>0</v>
      </c>
      <c r="F7" s="39">
        <v>3.7037037037037E-2</v>
      </c>
      <c r="G7" s="39">
        <v>0</v>
      </c>
      <c r="H7" s="39">
        <v>0</v>
      </c>
      <c r="I7" s="39">
        <v>3.7037037037037E-2</v>
      </c>
      <c r="J7" s="39">
        <v>0</v>
      </c>
      <c r="K7" s="39">
        <v>7.4074074074074001E-2</v>
      </c>
      <c r="L7" s="39">
        <v>0</v>
      </c>
      <c r="M7" s="39">
        <v>0</v>
      </c>
      <c r="N7" s="39">
        <v>3.7037037037037E-2</v>
      </c>
    </row>
    <row r="8" spans="2:14" ht="30" customHeight="1">
      <c r="B8" s="55" t="s">
        <v>44</v>
      </c>
      <c r="D8" s="43"/>
      <c r="E8" s="42">
        <v>0</v>
      </c>
      <c r="F8" s="42">
        <v>8.0166746833413502E-2</v>
      </c>
      <c r="G8" s="42">
        <v>0</v>
      </c>
      <c r="H8" s="42">
        <v>0</v>
      </c>
      <c r="I8" s="42">
        <v>0.12778579445246099</v>
      </c>
      <c r="J8" s="42">
        <v>0</v>
      </c>
      <c r="K8" s="42">
        <v>0.160333493666827</v>
      </c>
      <c r="L8" s="42">
        <v>0</v>
      </c>
      <c r="M8" s="42">
        <v>0</v>
      </c>
      <c r="N8" s="42">
        <v>0.12778579445246099</v>
      </c>
    </row>
    <row r="9" spans="2:14" ht="19">
      <c r="B9" s="135" t="s">
        <v>87</v>
      </c>
      <c r="C9" s="135"/>
      <c r="D9" s="135"/>
      <c r="E9" s="135"/>
      <c r="F9" s="135"/>
      <c r="G9" s="135"/>
      <c r="H9" s="135"/>
      <c r="I9" s="135"/>
      <c r="J9" s="135"/>
      <c r="K9" s="135"/>
      <c r="L9" s="135"/>
      <c r="M9" s="135"/>
      <c r="N9" s="135"/>
    </row>
  </sheetData>
  <mergeCells count="2">
    <mergeCell ref="B3:N3"/>
    <mergeCell ref="B9:N9"/>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C738F-09A9-DE4B-B631-9C28F700740E}">
  <dimension ref="B4:U14"/>
  <sheetViews>
    <sheetView showGridLines="0" workbookViewId="0">
      <selection activeCell="B4" sqref="B4:O4"/>
    </sheetView>
  </sheetViews>
  <sheetFormatPr baseColWidth="10" defaultRowHeight="16"/>
  <cols>
    <col min="2" max="2" width="12" style="21" customWidth="1"/>
    <col min="3" max="3" width="19" style="21" customWidth="1"/>
    <col min="4" max="4" width="9.83203125" style="21" customWidth="1"/>
    <col min="5" max="5" width="11.5" style="21" customWidth="1"/>
    <col min="6" max="6" width="9.83203125" style="21" customWidth="1"/>
    <col min="7" max="7" width="15.33203125" style="21" customWidth="1"/>
    <col min="8" max="8" width="10.83203125" style="21" customWidth="1"/>
    <col min="9" max="10" width="7.6640625" style="21" customWidth="1"/>
    <col min="11" max="11" width="11.5" style="21" customWidth="1"/>
    <col min="12" max="12" width="10.6640625" style="21" customWidth="1"/>
    <col min="13" max="13" width="11.1640625" style="21" customWidth="1"/>
    <col min="14" max="14" width="10.83203125" style="21" customWidth="1"/>
    <col min="15" max="15" width="9.83203125" style="21" customWidth="1"/>
    <col min="16" max="21" width="0" hidden="1" customWidth="1"/>
  </cols>
  <sheetData>
    <row r="4" spans="2:21" ht="19">
      <c r="B4" s="136" t="s">
        <v>101</v>
      </c>
      <c r="C4" s="136"/>
      <c r="D4" s="136"/>
      <c r="E4" s="136"/>
      <c r="F4" s="136"/>
      <c r="G4" s="136"/>
      <c r="H4" s="136"/>
      <c r="I4" s="136"/>
      <c r="J4" s="136"/>
      <c r="K4" s="136"/>
      <c r="L4" s="136"/>
      <c r="M4" s="136"/>
      <c r="N4" s="136"/>
      <c r="O4" s="136"/>
    </row>
    <row r="5" spans="2:21" s="22" customFormat="1" ht="26" customHeight="1">
      <c r="B5" s="66" t="s">
        <v>98</v>
      </c>
      <c r="C5" s="66" t="s">
        <v>91</v>
      </c>
      <c r="D5" s="66" t="s">
        <v>92</v>
      </c>
      <c r="E5" s="66" t="s">
        <v>93</v>
      </c>
      <c r="F5" s="66" t="s">
        <v>94</v>
      </c>
      <c r="G5" s="66" t="s">
        <v>95</v>
      </c>
      <c r="H5" s="66" t="s">
        <v>96</v>
      </c>
      <c r="I5" s="66" t="s">
        <v>97</v>
      </c>
      <c r="J5" s="66" t="s">
        <v>53</v>
      </c>
      <c r="K5" s="66" t="s">
        <v>55</v>
      </c>
      <c r="L5" s="66" t="s">
        <v>56</v>
      </c>
      <c r="M5" s="66" t="s">
        <v>58</v>
      </c>
      <c r="N5" s="66" t="s">
        <v>59</v>
      </c>
      <c r="O5" s="66" t="s">
        <v>60</v>
      </c>
      <c r="P5" s="67" t="s">
        <v>46</v>
      </c>
      <c r="Q5" s="67" t="s">
        <v>30</v>
      </c>
      <c r="R5" s="67" t="s">
        <v>31</v>
      </c>
      <c r="S5" s="67" t="s">
        <v>32</v>
      </c>
      <c r="T5" s="67" t="s">
        <v>33</v>
      </c>
      <c r="U5" s="67" t="s">
        <v>47</v>
      </c>
    </row>
    <row r="6" spans="2:21" ht="21" customHeight="1">
      <c r="B6" s="60">
        <v>303282</v>
      </c>
      <c r="C6" s="60" t="s">
        <v>45</v>
      </c>
      <c r="D6" s="60" t="s">
        <v>34</v>
      </c>
      <c r="E6" s="61">
        <v>0</v>
      </c>
      <c r="F6" s="62">
        <v>0</v>
      </c>
      <c r="G6" s="62">
        <v>8.0167000000000002E-2</v>
      </c>
      <c r="H6" s="62">
        <v>0</v>
      </c>
      <c r="I6" s="62">
        <v>0</v>
      </c>
      <c r="J6" s="62">
        <v>0.12778600000000001</v>
      </c>
      <c r="K6" s="62">
        <v>0</v>
      </c>
      <c r="L6" s="62">
        <v>0.160333</v>
      </c>
      <c r="M6" s="62">
        <v>0</v>
      </c>
      <c r="N6" s="62">
        <v>0</v>
      </c>
      <c r="O6" s="62">
        <v>0.12778600000000001</v>
      </c>
      <c r="P6" s="20">
        <v>3</v>
      </c>
      <c r="Q6" s="20">
        <v>4.3333329999999997</v>
      </c>
      <c r="R6" s="20">
        <v>4.3333329999999997</v>
      </c>
      <c r="S6" s="20">
        <v>4.3333329999999997</v>
      </c>
      <c r="T6" s="20">
        <v>2.6666669999999999</v>
      </c>
      <c r="U6" s="20">
        <v>22.333333</v>
      </c>
    </row>
    <row r="7" spans="2:21" ht="21" customHeight="1">
      <c r="B7" s="60">
        <v>427422</v>
      </c>
      <c r="C7" s="60" t="s">
        <v>45</v>
      </c>
      <c r="D7" s="60" t="s">
        <v>35</v>
      </c>
      <c r="E7" s="61">
        <v>0</v>
      </c>
      <c r="F7" s="62">
        <v>7.2459999999999998E-3</v>
      </c>
      <c r="G7" s="62">
        <v>2.5856000000000001E-2</v>
      </c>
      <c r="H7" s="62">
        <v>3.7880000000000001E-3</v>
      </c>
      <c r="I7" s="62">
        <v>2.1437000000000001E-2</v>
      </c>
      <c r="J7" s="62">
        <v>4.7622999999999999E-2</v>
      </c>
      <c r="K7" s="62">
        <v>1.7978999999999998E-2</v>
      </c>
      <c r="L7" s="62">
        <v>6.6233E-2</v>
      </c>
      <c r="M7" s="62">
        <v>1.4191E-2</v>
      </c>
      <c r="N7" s="62">
        <v>1.4822E-2</v>
      </c>
      <c r="O7" s="62">
        <v>5.1081000000000001E-2</v>
      </c>
      <c r="P7" s="20">
        <v>3</v>
      </c>
      <c r="Q7" s="20">
        <v>4.6666670000000003</v>
      </c>
      <c r="R7" s="20">
        <v>5</v>
      </c>
      <c r="S7" s="20">
        <v>4.6666670000000003</v>
      </c>
      <c r="T7" s="20">
        <v>3.3333330000000001</v>
      </c>
      <c r="U7" s="20">
        <v>60.666666999999997</v>
      </c>
    </row>
    <row r="8" spans="2:21" ht="21" customHeight="1">
      <c r="B8" s="60">
        <v>19713</v>
      </c>
      <c r="C8" s="60" t="s">
        <v>88</v>
      </c>
      <c r="D8" s="60" t="s">
        <v>34</v>
      </c>
      <c r="E8" s="61">
        <v>0</v>
      </c>
      <c r="F8" s="62">
        <v>2.0029999999999999E-2</v>
      </c>
      <c r="G8" s="62">
        <v>1.8010000000000002E-2</v>
      </c>
      <c r="H8" s="62">
        <v>1.5313999999999999E-2</v>
      </c>
      <c r="I8" s="62">
        <v>2.2712E-2</v>
      </c>
      <c r="J8" s="62">
        <v>1.0338999999999999E-2</v>
      </c>
      <c r="K8" s="62">
        <v>4.2951999999999997E-2</v>
      </c>
      <c r="L8" s="62">
        <v>6.1838999999999998E-2</v>
      </c>
      <c r="M8" s="62">
        <v>2.8968000000000001E-2</v>
      </c>
      <c r="N8" s="62">
        <v>5.8529999999999997E-3</v>
      </c>
      <c r="O8" s="62">
        <v>4.7181000000000001E-2</v>
      </c>
      <c r="P8" s="20">
        <v>11</v>
      </c>
      <c r="Q8" s="20">
        <v>2.2727270000000002</v>
      </c>
      <c r="R8" s="20">
        <v>2.6363639999999999</v>
      </c>
      <c r="S8" s="20">
        <v>3</v>
      </c>
      <c r="T8" s="20">
        <v>2</v>
      </c>
      <c r="U8" s="20">
        <v>92.909091000000004</v>
      </c>
    </row>
    <row r="9" spans="2:21" ht="21" customHeight="1">
      <c r="B9" s="60">
        <v>1250536</v>
      </c>
      <c r="C9" s="60" t="s">
        <v>45</v>
      </c>
      <c r="D9" s="60" t="s">
        <v>34</v>
      </c>
      <c r="E9" s="61">
        <v>0</v>
      </c>
      <c r="F9" s="62">
        <v>0</v>
      </c>
      <c r="G9" s="62">
        <v>0</v>
      </c>
      <c r="H9" s="62">
        <v>0</v>
      </c>
      <c r="I9" s="62">
        <v>4.7619000000000002E-2</v>
      </c>
      <c r="J9" s="62">
        <v>0</v>
      </c>
      <c r="K9" s="62">
        <v>0</v>
      </c>
      <c r="L9" s="62">
        <v>9.5238000000000003E-2</v>
      </c>
      <c r="M9" s="62">
        <v>4.7619000000000002E-2</v>
      </c>
      <c r="N9" s="62">
        <v>0</v>
      </c>
      <c r="O9" s="62">
        <v>9.5238000000000003E-2</v>
      </c>
      <c r="P9" s="20">
        <v>1</v>
      </c>
      <c r="Q9" s="20">
        <v>5</v>
      </c>
      <c r="R9" s="20">
        <v>5</v>
      </c>
      <c r="S9" s="20">
        <v>5</v>
      </c>
      <c r="T9" s="20">
        <v>5</v>
      </c>
      <c r="U9" s="20">
        <v>21</v>
      </c>
    </row>
    <row r="10" spans="2:21" ht="21" customHeight="1">
      <c r="B10" s="60">
        <v>1210326</v>
      </c>
      <c r="C10" s="60" t="s">
        <v>45</v>
      </c>
      <c r="D10" s="60" t="s">
        <v>35</v>
      </c>
      <c r="E10" s="61">
        <v>0</v>
      </c>
      <c r="F10" s="62">
        <v>0</v>
      </c>
      <c r="G10" s="62">
        <v>3.7037E-2</v>
      </c>
      <c r="H10" s="62">
        <v>0</v>
      </c>
      <c r="I10" s="62">
        <v>0</v>
      </c>
      <c r="J10" s="62">
        <v>3.7037E-2</v>
      </c>
      <c r="K10" s="62">
        <v>0</v>
      </c>
      <c r="L10" s="62">
        <v>7.4074000000000001E-2</v>
      </c>
      <c r="M10" s="62">
        <v>0</v>
      </c>
      <c r="N10" s="62">
        <v>0</v>
      </c>
      <c r="O10" s="62">
        <v>3.7037E-2</v>
      </c>
      <c r="P10" s="20">
        <v>1</v>
      </c>
      <c r="Q10" s="20">
        <v>5</v>
      </c>
      <c r="R10" s="20">
        <v>5</v>
      </c>
      <c r="S10" s="20">
        <v>5</v>
      </c>
      <c r="T10" s="20">
        <v>5</v>
      </c>
      <c r="U10" s="20">
        <v>27</v>
      </c>
    </row>
    <row r="11" spans="2:21" ht="21" customHeight="1">
      <c r="B11" s="60">
        <v>587845</v>
      </c>
      <c r="C11" s="60" t="s">
        <v>88</v>
      </c>
      <c r="D11" s="60" t="s">
        <v>35</v>
      </c>
      <c r="E11" s="61">
        <v>0</v>
      </c>
      <c r="F11" s="62">
        <v>5.0819999999999997E-3</v>
      </c>
      <c r="G11" s="62">
        <v>4.1835999999999998E-2</v>
      </c>
      <c r="H11" s="62">
        <v>8.6890000000000005E-3</v>
      </c>
      <c r="I11" s="62">
        <v>1.5048000000000001E-2</v>
      </c>
      <c r="J11" s="62">
        <v>2.2710999999999999E-2</v>
      </c>
      <c r="K11" s="62">
        <v>2.1197000000000001E-2</v>
      </c>
      <c r="L11" s="62">
        <v>6.1691000000000003E-2</v>
      </c>
      <c r="M11" s="62">
        <v>1.7831E-2</v>
      </c>
      <c r="N11" s="62">
        <v>8.6809999999999995E-3</v>
      </c>
      <c r="O11" s="62">
        <v>4.7273000000000003E-2</v>
      </c>
      <c r="P11" s="20">
        <v>9</v>
      </c>
      <c r="Q11" s="20">
        <v>4.5555560000000002</v>
      </c>
      <c r="R11" s="20">
        <v>4.5555560000000002</v>
      </c>
      <c r="S11" s="20">
        <v>4.2222220000000004</v>
      </c>
      <c r="T11" s="20">
        <v>2.4444439999999998</v>
      </c>
      <c r="U11" s="20">
        <v>73.888889000000006</v>
      </c>
    </row>
    <row r="12" spans="2:21" ht="21" customHeight="1">
      <c r="B12" s="60">
        <v>1097053</v>
      </c>
      <c r="C12" s="60" t="s">
        <v>89</v>
      </c>
      <c r="D12" s="60" t="s">
        <v>35</v>
      </c>
      <c r="E12" s="61">
        <v>0</v>
      </c>
      <c r="F12" s="62">
        <v>0</v>
      </c>
      <c r="G12" s="62">
        <v>3.7026000000000003E-2</v>
      </c>
      <c r="H12" s="62">
        <v>0</v>
      </c>
      <c r="I12" s="62">
        <v>3.8609999999999998E-3</v>
      </c>
      <c r="J12" s="62">
        <v>0</v>
      </c>
      <c r="K12" s="62">
        <v>8.4030000000000007E-3</v>
      </c>
      <c r="L12" s="62">
        <v>6.5837999999999994E-2</v>
      </c>
      <c r="M12" s="62">
        <v>1.2264000000000001E-2</v>
      </c>
      <c r="N12" s="62">
        <v>0</v>
      </c>
      <c r="O12" s="62">
        <v>2.6022E-2</v>
      </c>
      <c r="P12" s="20">
        <v>7</v>
      </c>
      <c r="Q12" s="20">
        <v>4.1428570000000002</v>
      </c>
      <c r="R12" s="20">
        <v>4.1428570000000002</v>
      </c>
      <c r="S12" s="20">
        <v>3.1428569999999998</v>
      </c>
      <c r="T12" s="20">
        <v>2.1428569999999998</v>
      </c>
      <c r="U12" s="20">
        <v>22.428571000000002</v>
      </c>
    </row>
    <row r="13" spans="2:21" ht="21" customHeight="1">
      <c r="B13" s="60">
        <v>554065</v>
      </c>
      <c r="C13" s="60" t="s">
        <v>90</v>
      </c>
      <c r="D13" s="60" t="s">
        <v>35</v>
      </c>
      <c r="E13" s="61">
        <v>0</v>
      </c>
      <c r="F13" s="62">
        <v>2.1010999999999998E-2</v>
      </c>
      <c r="G13" s="62">
        <v>5.2468000000000001E-2</v>
      </c>
      <c r="H13" s="62">
        <v>7.9410000000000001E-3</v>
      </c>
      <c r="I13" s="62">
        <v>1.3205E-2</v>
      </c>
      <c r="J13" s="62">
        <v>4.0828000000000003E-2</v>
      </c>
      <c r="K13" s="62">
        <v>2.9305000000000001E-2</v>
      </c>
      <c r="L13" s="62">
        <v>7.4982999999999994E-2</v>
      </c>
      <c r="M13" s="62">
        <v>1.0208999999999999E-2</v>
      </c>
      <c r="N13" s="62">
        <v>1.4527E-2</v>
      </c>
      <c r="O13" s="62">
        <v>6.8233000000000002E-2</v>
      </c>
      <c r="P13" s="20">
        <v>7</v>
      </c>
      <c r="Q13" s="20">
        <v>3.285714</v>
      </c>
      <c r="R13" s="20">
        <v>3.5714290000000002</v>
      </c>
      <c r="S13" s="20">
        <v>3.1428569999999998</v>
      </c>
      <c r="T13" s="20">
        <v>3.714286</v>
      </c>
      <c r="U13" s="20">
        <v>67.285713999999999</v>
      </c>
    </row>
    <row r="14" spans="2:21" ht="21" customHeight="1" thickBot="1">
      <c r="B14" s="63">
        <v>599346</v>
      </c>
      <c r="C14" s="63" t="s">
        <v>45</v>
      </c>
      <c r="D14" s="63" t="s">
        <v>35</v>
      </c>
      <c r="E14" s="64">
        <v>0</v>
      </c>
      <c r="F14" s="65">
        <v>0</v>
      </c>
      <c r="G14" s="65">
        <v>0.02</v>
      </c>
      <c r="H14" s="65">
        <v>0</v>
      </c>
      <c r="I14" s="65">
        <v>0</v>
      </c>
      <c r="J14" s="65">
        <v>0.02</v>
      </c>
      <c r="K14" s="65">
        <v>0</v>
      </c>
      <c r="L14" s="65">
        <v>0.02</v>
      </c>
      <c r="M14" s="65">
        <v>0</v>
      </c>
      <c r="N14" s="65">
        <v>0.02</v>
      </c>
      <c r="O14" s="65">
        <v>0.02</v>
      </c>
      <c r="P14" s="20">
        <v>2</v>
      </c>
      <c r="Q14" s="20">
        <v>3</v>
      </c>
      <c r="R14" s="20">
        <v>3</v>
      </c>
      <c r="S14" s="20">
        <v>3</v>
      </c>
      <c r="T14" s="20">
        <v>2</v>
      </c>
      <c r="U14" s="20">
        <v>17</v>
      </c>
    </row>
  </sheetData>
  <mergeCells count="1">
    <mergeCell ref="B4:O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51154-5AFD-714B-AD82-0E125E89EC1D}">
  <dimension ref="C2:E29"/>
  <sheetViews>
    <sheetView showGridLines="0" workbookViewId="0">
      <selection activeCell="G25" sqref="G25"/>
    </sheetView>
  </sheetViews>
  <sheetFormatPr baseColWidth="10" defaultRowHeight="16"/>
  <cols>
    <col min="3" max="3" width="14.83203125" customWidth="1"/>
    <col min="4" max="5" width="22.83203125" customWidth="1"/>
  </cols>
  <sheetData>
    <row r="2" spans="3:5" ht="55" customHeight="1" thickBot="1">
      <c r="C2" s="137" t="s">
        <v>100</v>
      </c>
      <c r="D2" s="137"/>
      <c r="E2" s="137"/>
    </row>
    <row r="3" spans="3:5" ht="19">
      <c r="C3" s="75" t="s">
        <v>92</v>
      </c>
      <c r="D3" s="76" t="s">
        <v>20</v>
      </c>
      <c r="E3" s="76" t="s">
        <v>21</v>
      </c>
    </row>
    <row r="4" spans="3:5" ht="19">
      <c r="C4" s="69" t="s">
        <v>94</v>
      </c>
      <c r="D4" s="71">
        <v>6.2529999999999999E-3</v>
      </c>
      <c r="E4" s="71">
        <v>6.8719999999999996E-3</v>
      </c>
    </row>
    <row r="5" spans="3:5" ht="19">
      <c r="C5" s="69" t="s">
        <v>95</v>
      </c>
      <c r="D5" s="71">
        <v>3.0511E-2</v>
      </c>
      <c r="E5" s="71">
        <v>3.0001E-2</v>
      </c>
    </row>
    <row r="6" spans="3:5" ht="19">
      <c r="C6" s="69" t="s">
        <v>96</v>
      </c>
      <c r="D6" s="71">
        <v>6.4209999999999996E-3</v>
      </c>
      <c r="E6" s="71">
        <v>6.4840000000000002E-3</v>
      </c>
    </row>
    <row r="7" spans="3:5" ht="19">
      <c r="C7" s="69" t="s">
        <v>97</v>
      </c>
      <c r="D7" s="71">
        <v>1.265E-2</v>
      </c>
      <c r="E7" s="71">
        <v>1.4036E-2</v>
      </c>
    </row>
    <row r="8" spans="3:5" ht="19">
      <c r="C8" s="69" t="s">
        <v>53</v>
      </c>
      <c r="D8" s="71">
        <v>2.7227999999999999E-2</v>
      </c>
      <c r="E8" s="71">
        <v>2.7167E-2</v>
      </c>
    </row>
    <row r="9" spans="3:5" ht="19">
      <c r="C9" s="69" t="s">
        <v>55</v>
      </c>
      <c r="D9" s="71">
        <v>2.0285999999999998E-2</v>
      </c>
      <c r="E9" s="71">
        <v>2.0240999999999999E-2</v>
      </c>
    </row>
    <row r="10" spans="3:5" ht="19">
      <c r="C10" s="69" t="s">
        <v>56</v>
      </c>
      <c r="D10" s="71">
        <v>7.5754000000000002E-2</v>
      </c>
      <c r="E10" s="71">
        <v>7.6813999999999993E-2</v>
      </c>
    </row>
    <row r="11" spans="3:5" ht="19">
      <c r="C11" s="69" t="s">
        <v>58</v>
      </c>
      <c r="D11" s="71">
        <v>1.1779E-2</v>
      </c>
      <c r="E11" s="71">
        <v>1.3172E-2</v>
      </c>
    </row>
    <row r="12" spans="3:5" ht="19">
      <c r="C12" s="69" t="s">
        <v>59</v>
      </c>
      <c r="D12" s="71">
        <v>1.1238E-2</v>
      </c>
      <c r="E12" s="71">
        <v>1.1625999999999999E-2</v>
      </c>
    </row>
    <row r="13" spans="3:5" ht="20" thickBot="1">
      <c r="C13" s="70" t="s">
        <v>60</v>
      </c>
      <c r="D13" s="72">
        <v>5.6253999999999998E-2</v>
      </c>
      <c r="E13" s="72">
        <v>5.7862999999999998E-2</v>
      </c>
    </row>
    <row r="14" spans="3:5" ht="19">
      <c r="C14" s="69"/>
      <c r="D14" s="71"/>
      <c r="E14" s="71"/>
    </row>
    <row r="15" spans="3:5" ht="19">
      <c r="C15" s="69"/>
      <c r="D15" s="71"/>
      <c r="E15" s="71"/>
    </row>
    <row r="16" spans="3:5" ht="19">
      <c r="C16" s="68"/>
    </row>
    <row r="17" spans="3:5" ht="39" customHeight="1" thickBot="1">
      <c r="C17" s="137" t="s">
        <v>104</v>
      </c>
      <c r="D17" s="137"/>
      <c r="E17" s="137"/>
    </row>
    <row r="18" spans="3:5" ht="19">
      <c r="C18" s="75" t="s">
        <v>92</v>
      </c>
      <c r="D18" s="76" t="s">
        <v>20</v>
      </c>
      <c r="E18" s="76" t="s">
        <v>21</v>
      </c>
    </row>
    <row r="19" spans="3:5" ht="19">
      <c r="C19" s="69" t="s">
        <v>94</v>
      </c>
      <c r="D19" s="71">
        <v>6.3029999999999996E-3</v>
      </c>
      <c r="E19" s="71">
        <v>6.731E-3</v>
      </c>
    </row>
    <row r="20" spans="3:5" ht="19">
      <c r="C20" s="69" t="s">
        <v>95</v>
      </c>
      <c r="D20" s="71">
        <v>3.1281000000000003E-2</v>
      </c>
      <c r="E20" s="71">
        <v>3.1106000000000002E-2</v>
      </c>
    </row>
    <row r="21" spans="3:5" ht="19">
      <c r="C21" s="69" t="s">
        <v>96</v>
      </c>
      <c r="D21" s="71">
        <v>6.1479999999999998E-3</v>
      </c>
      <c r="E21" s="71">
        <v>6.3949999999999996E-3</v>
      </c>
    </row>
    <row r="22" spans="3:5" ht="19">
      <c r="C22" s="69" t="s">
        <v>97</v>
      </c>
      <c r="D22" s="71">
        <v>1.2702E-2</v>
      </c>
      <c r="E22" s="71">
        <v>1.3178E-2</v>
      </c>
    </row>
    <row r="23" spans="3:5" ht="19">
      <c r="C23" s="69" t="s">
        <v>53</v>
      </c>
      <c r="D23" s="71">
        <v>2.6245999999999998E-2</v>
      </c>
      <c r="E23" s="71">
        <v>2.7362999999999998E-2</v>
      </c>
    </row>
    <row r="24" spans="3:5" ht="19">
      <c r="C24" s="69" t="s">
        <v>55</v>
      </c>
      <c r="D24" s="71">
        <v>1.9938000000000001E-2</v>
      </c>
      <c r="E24" s="71">
        <v>1.9452000000000001E-2</v>
      </c>
    </row>
    <row r="25" spans="3:5" ht="19">
      <c r="C25" s="69" t="s">
        <v>56</v>
      </c>
      <c r="D25" s="71">
        <v>7.8658000000000006E-2</v>
      </c>
      <c r="E25" s="71">
        <v>8.0213999999999994E-2</v>
      </c>
    </row>
    <row r="26" spans="3:5" ht="19">
      <c r="C26" s="69" t="s">
        <v>58</v>
      </c>
      <c r="D26" s="71">
        <v>1.1638000000000001E-2</v>
      </c>
      <c r="E26" s="71">
        <v>1.2168999999999999E-2</v>
      </c>
    </row>
    <row r="27" spans="3:5" ht="19">
      <c r="C27" s="69" t="s">
        <v>59</v>
      </c>
      <c r="D27" s="71">
        <v>1.0954999999999999E-2</v>
      </c>
      <c r="E27" s="71">
        <v>1.1757999999999999E-2</v>
      </c>
    </row>
    <row r="28" spans="3:5" ht="20" thickBot="1">
      <c r="C28" s="70" t="s">
        <v>60</v>
      </c>
      <c r="D28" s="72">
        <v>5.9318000000000003E-2</v>
      </c>
      <c r="E28" s="72">
        <v>6.0794000000000001E-2</v>
      </c>
    </row>
    <row r="29" spans="3:5">
      <c r="C29" s="74" t="s">
        <v>99</v>
      </c>
    </row>
  </sheetData>
  <mergeCells count="2">
    <mergeCell ref="C2:E2"/>
    <mergeCell ref="C17:E17"/>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6B641-D34A-584B-A21E-8ECD07EDA449}">
  <dimension ref="C1:P10"/>
  <sheetViews>
    <sheetView showGridLines="0" workbookViewId="0">
      <selection activeCell="G17" sqref="G17"/>
    </sheetView>
  </sheetViews>
  <sheetFormatPr baseColWidth="10" defaultRowHeight="16"/>
  <cols>
    <col min="3" max="3" width="11.6640625" customWidth="1"/>
    <col min="4" max="5" width="14" customWidth="1"/>
    <col min="6" max="6" width="1.5" customWidth="1"/>
    <col min="7" max="8" width="14" customWidth="1"/>
    <col min="11" max="11" width="11.83203125" customWidth="1"/>
    <col min="12" max="13" width="15.5" customWidth="1"/>
    <col min="14" max="14" width="2.1640625" customWidth="1"/>
    <col min="15" max="16" width="15.5" customWidth="1"/>
  </cols>
  <sheetData>
    <row r="1" spans="3:16">
      <c r="C1" s="81"/>
      <c r="D1" s="81"/>
      <c r="E1" s="81"/>
      <c r="F1" s="81"/>
      <c r="G1" s="81"/>
      <c r="H1" s="81"/>
    </row>
    <row r="2" spans="3:16" s="59" customFormat="1" ht="40" customHeight="1" thickBot="1">
      <c r="C2" s="139" t="s">
        <v>105</v>
      </c>
      <c r="D2" s="139"/>
      <c r="E2" s="139"/>
      <c r="F2" s="139"/>
      <c r="G2" s="139"/>
      <c r="H2" s="139"/>
      <c r="K2" s="137" t="s">
        <v>106</v>
      </c>
      <c r="L2" s="137"/>
      <c r="M2" s="137"/>
      <c r="N2" s="137"/>
      <c r="O2" s="137"/>
      <c r="P2" s="137"/>
    </row>
    <row r="3" spans="3:16" s="31" customFormat="1" ht="25" customHeight="1">
      <c r="C3" s="77"/>
      <c r="D3" s="138" t="s">
        <v>20</v>
      </c>
      <c r="E3" s="138"/>
      <c r="F3" s="86"/>
      <c r="G3" s="138" t="s">
        <v>21</v>
      </c>
      <c r="H3" s="138"/>
      <c r="K3" s="77"/>
      <c r="L3" s="138" t="s">
        <v>20</v>
      </c>
      <c r="M3" s="138"/>
      <c r="N3" s="86"/>
      <c r="O3" s="138" t="s">
        <v>21</v>
      </c>
      <c r="P3" s="138"/>
    </row>
    <row r="4" spans="3:16" s="31" customFormat="1" ht="40">
      <c r="C4" s="79"/>
      <c r="D4" s="78" t="s">
        <v>18</v>
      </c>
      <c r="E4" s="78" t="s">
        <v>19</v>
      </c>
      <c r="F4" s="80"/>
      <c r="G4" s="78" t="s">
        <v>18</v>
      </c>
      <c r="H4" s="78" t="s">
        <v>19</v>
      </c>
      <c r="K4" s="79"/>
      <c r="L4" s="78" t="s">
        <v>18</v>
      </c>
      <c r="M4" s="78" t="s">
        <v>19</v>
      </c>
      <c r="N4" s="80"/>
      <c r="O4" s="78" t="s">
        <v>18</v>
      </c>
      <c r="P4" s="78" t="s">
        <v>19</v>
      </c>
    </row>
    <row r="5" spans="3:16" s="32" customFormat="1" ht="45" customHeight="1">
      <c r="C5" s="84" t="s">
        <v>14</v>
      </c>
      <c r="D5" s="82">
        <v>3.8518629999999998</v>
      </c>
      <c r="E5" s="82">
        <v>3.4749340000000002</v>
      </c>
      <c r="G5" s="82">
        <v>3.9042620000000001</v>
      </c>
      <c r="H5" s="82">
        <v>3.5943450000000001</v>
      </c>
      <c r="K5" s="84" t="s">
        <v>14</v>
      </c>
      <c r="L5" s="82">
        <v>3.853739</v>
      </c>
      <c r="M5" s="82">
        <v>3.012912</v>
      </c>
      <c r="N5" s="82"/>
      <c r="O5" s="82">
        <v>3.942812</v>
      </c>
      <c r="P5" s="82">
        <v>3.7460049999999998</v>
      </c>
    </row>
    <row r="6" spans="3:16" s="32" customFormat="1" ht="45" customHeight="1">
      <c r="C6" s="84" t="s">
        <v>15</v>
      </c>
      <c r="D6" s="82">
        <v>3.987501</v>
      </c>
      <c r="E6" s="82">
        <v>3.6197080000000001</v>
      </c>
      <c r="G6" s="82">
        <v>4.0570490000000001</v>
      </c>
      <c r="H6" s="82">
        <v>3.7546499999999998</v>
      </c>
      <c r="K6" s="84" t="s">
        <v>15</v>
      </c>
      <c r="L6" s="82">
        <v>3.9923229999999998</v>
      </c>
      <c r="M6" s="82">
        <v>3.2700049999999998</v>
      </c>
      <c r="N6" s="82"/>
      <c r="O6" s="82">
        <v>4.0983229999999997</v>
      </c>
      <c r="P6" s="82">
        <v>3.8728829999999999</v>
      </c>
    </row>
    <row r="7" spans="3:16" s="32" customFormat="1" ht="45" customHeight="1">
      <c r="C7" s="84" t="s">
        <v>16</v>
      </c>
      <c r="D7" s="82">
        <v>3.766508</v>
      </c>
      <c r="E7" s="82">
        <v>3.3888729999999998</v>
      </c>
      <c r="G7" s="82">
        <v>3.8567779999999998</v>
      </c>
      <c r="H7" s="82">
        <v>3.4332880000000001</v>
      </c>
      <c r="K7" s="84" t="s">
        <v>16</v>
      </c>
      <c r="L7" s="82">
        <v>3.7759390000000002</v>
      </c>
      <c r="M7" s="82">
        <v>3.324471</v>
      </c>
      <c r="N7" s="82"/>
      <c r="O7" s="82">
        <v>3.877316</v>
      </c>
      <c r="P7" s="82">
        <v>3.383569</v>
      </c>
    </row>
    <row r="8" spans="3:16" s="32" customFormat="1" ht="45" customHeight="1" thickBot="1">
      <c r="C8" s="85" t="s">
        <v>17</v>
      </c>
      <c r="D8" s="83">
        <v>3.6061809999999999</v>
      </c>
      <c r="E8" s="83">
        <v>3.0223469999999999</v>
      </c>
      <c r="F8" s="87"/>
      <c r="G8" s="83">
        <v>3.7037200000000001</v>
      </c>
      <c r="H8" s="83">
        <v>3.1929590000000001</v>
      </c>
      <c r="K8" s="85" t="s">
        <v>17</v>
      </c>
      <c r="L8" s="83">
        <v>3.602322</v>
      </c>
      <c r="M8" s="83">
        <v>2.9503560000000002</v>
      </c>
      <c r="N8" s="83"/>
      <c r="O8" s="83">
        <v>3.7192970000000001</v>
      </c>
      <c r="P8" s="83">
        <v>3.1814710000000002</v>
      </c>
    </row>
    <row r="9" spans="3:16" ht="17">
      <c r="K9" s="73"/>
    </row>
    <row r="10" spans="3:16">
      <c r="K10" s="74"/>
    </row>
  </sheetData>
  <mergeCells count="6">
    <mergeCell ref="L3:M3"/>
    <mergeCell ref="O3:P3"/>
    <mergeCell ref="K2:P2"/>
    <mergeCell ref="D3:E3"/>
    <mergeCell ref="G3:H3"/>
    <mergeCell ref="C2:H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9771-1C7B-7D43-8C20-9DB1FC787270}">
  <dimension ref="C1:G33"/>
  <sheetViews>
    <sheetView showGridLines="0" workbookViewId="0">
      <selection activeCell="E4" sqref="E4"/>
    </sheetView>
  </sheetViews>
  <sheetFormatPr baseColWidth="10" defaultRowHeight="19"/>
  <cols>
    <col min="1" max="2" width="10.83203125" style="3"/>
    <col min="3" max="4" width="17.5" style="90" customWidth="1"/>
    <col min="5" max="5" width="17.5" style="5" customWidth="1"/>
    <col min="6" max="7" width="17.5" style="90" customWidth="1"/>
    <col min="8" max="16384" width="10.83203125" style="3"/>
  </cols>
  <sheetData>
    <row r="1" spans="3:7" ht="20" thickBot="1">
      <c r="C1" s="97"/>
      <c r="D1" s="97"/>
      <c r="F1" s="97"/>
      <c r="G1" s="97"/>
    </row>
    <row r="2" spans="3:7">
      <c r="C2" s="140" t="s">
        <v>183</v>
      </c>
      <c r="D2" s="140"/>
      <c r="F2" s="141" t="s">
        <v>182</v>
      </c>
      <c r="G2" s="141"/>
    </row>
    <row r="3" spans="3:7">
      <c r="C3" s="99" t="s">
        <v>180</v>
      </c>
      <c r="D3" s="100" t="s">
        <v>181</v>
      </c>
      <c r="F3" s="99" t="s">
        <v>180</v>
      </c>
      <c r="G3" s="100" t="s">
        <v>181</v>
      </c>
    </row>
    <row r="4" spans="3:7">
      <c r="C4" s="93" t="s">
        <v>107</v>
      </c>
      <c r="D4" s="94">
        <v>2.401392</v>
      </c>
      <c r="F4" s="91" t="s">
        <v>144</v>
      </c>
      <c r="G4" s="92">
        <v>1.727813</v>
      </c>
    </row>
    <row r="5" spans="3:7">
      <c r="C5" s="93" t="s">
        <v>108</v>
      </c>
      <c r="D5" s="94">
        <v>2.072705</v>
      </c>
      <c r="F5" s="91" t="s">
        <v>145</v>
      </c>
      <c r="G5" s="92">
        <v>1.6511070000000001</v>
      </c>
    </row>
    <row r="6" spans="3:7">
      <c r="C6" s="93" t="s">
        <v>109</v>
      </c>
      <c r="D6" s="94">
        <v>1.9564140000000001</v>
      </c>
      <c r="F6" s="91" t="s">
        <v>146</v>
      </c>
      <c r="G6" s="92">
        <v>1.52417</v>
      </c>
    </row>
    <row r="7" spans="3:7">
      <c r="C7" s="93" t="s">
        <v>110</v>
      </c>
      <c r="D7" s="94">
        <v>1.8013479999999999</v>
      </c>
      <c r="F7" s="91" t="s">
        <v>147</v>
      </c>
      <c r="G7" s="92">
        <v>1.4726710000000001</v>
      </c>
    </row>
    <row r="8" spans="3:7">
      <c r="C8" s="93" t="s">
        <v>111</v>
      </c>
      <c r="D8" s="94">
        <v>1.6692309999999999</v>
      </c>
      <c r="F8" s="91" t="s">
        <v>148</v>
      </c>
      <c r="G8" s="92">
        <v>1.4453339999999999</v>
      </c>
    </row>
    <row r="9" spans="3:7">
      <c r="C9" s="93" t="s">
        <v>112</v>
      </c>
      <c r="D9" s="94">
        <v>1.573828</v>
      </c>
      <c r="F9" s="91" t="s">
        <v>149</v>
      </c>
      <c r="G9" s="92">
        <v>1.4405539999999999</v>
      </c>
    </row>
    <row r="10" spans="3:7">
      <c r="C10" s="93" t="s">
        <v>113</v>
      </c>
      <c r="D10" s="94">
        <v>1.5127349999999999</v>
      </c>
      <c r="F10" s="91" t="s">
        <v>150</v>
      </c>
      <c r="G10" s="92">
        <v>1.4395610000000001</v>
      </c>
    </row>
    <row r="11" spans="3:7">
      <c r="C11" s="93" t="s">
        <v>114</v>
      </c>
      <c r="D11" s="94">
        <v>1.5080340000000001</v>
      </c>
      <c r="F11" s="91" t="s">
        <v>151</v>
      </c>
      <c r="G11" s="92">
        <v>1.3891720000000001</v>
      </c>
    </row>
    <row r="12" spans="3:7">
      <c r="C12" s="93" t="s">
        <v>115</v>
      </c>
      <c r="D12" s="94">
        <v>1.472899</v>
      </c>
      <c r="F12" s="91" t="s">
        <v>152</v>
      </c>
      <c r="G12" s="92">
        <v>1.3768450000000001</v>
      </c>
    </row>
    <row r="13" spans="3:7">
      <c r="C13" s="93" t="s">
        <v>116</v>
      </c>
      <c r="D13" s="94">
        <v>1.468699</v>
      </c>
      <c r="F13" s="91" t="s">
        <v>153</v>
      </c>
      <c r="G13" s="92">
        <v>1.37636</v>
      </c>
    </row>
    <row r="14" spans="3:7">
      <c r="C14" s="93" t="s">
        <v>117</v>
      </c>
      <c r="D14" s="94">
        <v>1.427521</v>
      </c>
      <c r="F14" s="91" t="s">
        <v>154</v>
      </c>
      <c r="G14" s="92">
        <v>1.3626940000000001</v>
      </c>
    </row>
    <row r="15" spans="3:7">
      <c r="C15" s="93" t="s">
        <v>118</v>
      </c>
      <c r="D15" s="94">
        <v>1.387934</v>
      </c>
      <c r="F15" s="91" t="s">
        <v>155</v>
      </c>
      <c r="G15" s="92">
        <v>1.3561669999999999</v>
      </c>
    </row>
    <row r="16" spans="3:7">
      <c r="C16" s="93" t="s">
        <v>119</v>
      </c>
      <c r="D16" s="94">
        <v>1.380447</v>
      </c>
      <c r="F16" s="91" t="s">
        <v>156</v>
      </c>
      <c r="G16" s="92">
        <v>1.344401</v>
      </c>
    </row>
    <row r="17" spans="3:7">
      <c r="C17" s="93" t="s">
        <v>120</v>
      </c>
      <c r="D17" s="94">
        <v>1.3429819999999999</v>
      </c>
      <c r="F17" s="91" t="s">
        <v>157</v>
      </c>
      <c r="G17" s="92">
        <v>1.3410869999999999</v>
      </c>
    </row>
    <row r="18" spans="3:7">
      <c r="C18" s="93" t="s">
        <v>121</v>
      </c>
      <c r="D18" s="94">
        <v>1.329237</v>
      </c>
      <c r="F18" s="91" t="s">
        <v>158</v>
      </c>
      <c r="G18" s="92">
        <v>1.341016</v>
      </c>
    </row>
    <row r="19" spans="3:7">
      <c r="C19" s="93" t="s">
        <v>122</v>
      </c>
      <c r="D19" s="94">
        <v>1.328524</v>
      </c>
      <c r="F19" s="91" t="s">
        <v>159</v>
      </c>
      <c r="G19" s="92">
        <v>1.3317399999999999</v>
      </c>
    </row>
    <row r="20" spans="3:7">
      <c r="C20" s="93" t="s">
        <v>123</v>
      </c>
      <c r="D20" s="94">
        <v>1.3197490000000001</v>
      </c>
      <c r="F20" s="91" t="s">
        <v>160</v>
      </c>
      <c r="G20" s="92">
        <v>1.3163720000000001</v>
      </c>
    </row>
    <row r="21" spans="3:7">
      <c r="C21" s="93" t="s">
        <v>124</v>
      </c>
      <c r="D21" s="94">
        <v>1.3186869999999999</v>
      </c>
      <c r="F21" s="91" t="s">
        <v>161</v>
      </c>
      <c r="G21" s="92">
        <v>1.3133330000000001</v>
      </c>
    </row>
    <row r="22" spans="3:7">
      <c r="C22" s="93" t="s">
        <v>125</v>
      </c>
      <c r="D22" s="94">
        <v>1.316222</v>
      </c>
      <c r="F22" s="91" t="s">
        <v>162</v>
      </c>
      <c r="G22" s="92">
        <v>1.309723</v>
      </c>
    </row>
    <row r="23" spans="3:7">
      <c r="C23" s="93" t="s">
        <v>126</v>
      </c>
      <c r="D23" s="94">
        <v>1.3082400000000001</v>
      </c>
      <c r="F23" s="91" t="s">
        <v>163</v>
      </c>
      <c r="G23" s="92">
        <v>1.2943910000000001</v>
      </c>
    </row>
    <row r="24" spans="3:7">
      <c r="C24" s="93" t="s">
        <v>127</v>
      </c>
      <c r="D24" s="94">
        <v>1.302362</v>
      </c>
      <c r="F24" s="91" t="s">
        <v>164</v>
      </c>
      <c r="G24" s="92">
        <v>1.288753</v>
      </c>
    </row>
    <row r="25" spans="3:7">
      <c r="C25" s="93" t="s">
        <v>128</v>
      </c>
      <c r="D25" s="94">
        <v>1.2945880000000001</v>
      </c>
      <c r="F25" s="91" t="s">
        <v>165</v>
      </c>
      <c r="G25" s="92">
        <v>1.287266</v>
      </c>
    </row>
    <row r="26" spans="3:7">
      <c r="C26" s="93" t="s">
        <v>129</v>
      </c>
      <c r="D26" s="94">
        <v>1.2925359999999999</v>
      </c>
      <c r="F26" s="91" t="s">
        <v>166</v>
      </c>
      <c r="G26" s="92">
        <v>1.28105</v>
      </c>
    </row>
    <row r="27" spans="3:7">
      <c r="C27" s="93" t="s">
        <v>130</v>
      </c>
      <c r="D27" s="94">
        <v>1.283471</v>
      </c>
      <c r="F27" s="91" t="s">
        <v>167</v>
      </c>
      <c r="G27" s="92">
        <v>1.271533</v>
      </c>
    </row>
    <row r="28" spans="3:7">
      <c r="C28" s="93" t="s">
        <v>131</v>
      </c>
      <c r="D28" s="94">
        <v>1.2798160000000001</v>
      </c>
      <c r="F28" s="91" t="s">
        <v>168</v>
      </c>
      <c r="G28" s="92">
        <v>1.270472</v>
      </c>
    </row>
    <row r="29" spans="3:7">
      <c r="C29" s="93" t="s">
        <v>132</v>
      </c>
      <c r="D29" s="94">
        <v>1.270642</v>
      </c>
      <c r="F29" s="91" t="s">
        <v>169</v>
      </c>
      <c r="G29" s="92">
        <v>1.2676639999999999</v>
      </c>
    </row>
    <row r="30" spans="3:7">
      <c r="C30" s="93" t="s">
        <v>133</v>
      </c>
      <c r="D30" s="94">
        <v>1.253538</v>
      </c>
      <c r="F30" s="91" t="s">
        <v>170</v>
      </c>
      <c r="G30" s="92">
        <v>1.260667</v>
      </c>
    </row>
    <row r="31" spans="3:7">
      <c r="C31" s="93" t="s">
        <v>134</v>
      </c>
      <c r="D31" s="94">
        <v>1.24465</v>
      </c>
      <c r="F31" s="91" t="s">
        <v>171</v>
      </c>
      <c r="G31" s="92">
        <v>1.2593179999999999</v>
      </c>
    </row>
    <row r="32" spans="3:7">
      <c r="C32" s="93" t="s">
        <v>135</v>
      </c>
      <c r="D32" s="94">
        <v>1.2396670000000001</v>
      </c>
      <c r="F32" s="91" t="s">
        <v>172</v>
      </c>
      <c r="G32" s="92">
        <v>1.2588779999999999</v>
      </c>
    </row>
    <row r="33" spans="3:7" ht="20" thickBot="1">
      <c r="C33" s="95" t="s">
        <v>136</v>
      </c>
      <c r="D33" s="96">
        <v>1.226307</v>
      </c>
      <c r="F33" s="95" t="s">
        <v>173</v>
      </c>
      <c r="G33" s="96">
        <v>1.252702</v>
      </c>
    </row>
  </sheetData>
  <mergeCells count="2">
    <mergeCell ref="C2:D2"/>
    <mergeCell ref="F2:G2"/>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9AEEDC-5C00-4347-A1C4-868EF15996F6}">
  <dimension ref="C2:L34"/>
  <sheetViews>
    <sheetView showGridLines="0" workbookViewId="0">
      <selection activeCell="C2" sqref="C2"/>
    </sheetView>
  </sheetViews>
  <sheetFormatPr baseColWidth="10" defaultRowHeight="16"/>
  <cols>
    <col min="3" max="7" width="18.83203125" style="21" customWidth="1"/>
  </cols>
  <sheetData>
    <row r="2" spans="3:12" ht="17" thickBot="1"/>
    <row r="3" spans="3:12" ht="20" thickBot="1">
      <c r="C3" s="140" t="s">
        <v>233</v>
      </c>
      <c r="D3" s="140"/>
      <c r="F3" s="140" t="s">
        <v>234</v>
      </c>
      <c r="G3" s="140"/>
    </row>
    <row r="4" spans="3:12" ht="19">
      <c r="C4" s="101" t="s">
        <v>180</v>
      </c>
      <c r="D4" s="102" t="s">
        <v>181</v>
      </c>
      <c r="E4" s="89"/>
      <c r="F4" s="101" t="s">
        <v>180</v>
      </c>
      <c r="G4" s="102" t="s">
        <v>181</v>
      </c>
      <c r="H4" s="88"/>
      <c r="L4" s="98"/>
    </row>
    <row r="5" spans="3:12" ht="19">
      <c r="C5" s="103" t="s">
        <v>184</v>
      </c>
      <c r="D5" s="71">
        <v>3.1125080000000001</v>
      </c>
      <c r="E5" s="89"/>
      <c r="F5" s="103" t="s">
        <v>205</v>
      </c>
      <c r="G5" s="71">
        <v>2.418485</v>
      </c>
      <c r="H5" s="88"/>
      <c r="L5" s="99"/>
    </row>
    <row r="6" spans="3:12" ht="19">
      <c r="C6" s="103" t="s">
        <v>185</v>
      </c>
      <c r="D6" s="71">
        <v>2.5794649999999999</v>
      </c>
      <c r="E6" s="89"/>
      <c r="F6" s="103" t="s">
        <v>124</v>
      </c>
      <c r="G6" s="71">
        <v>2.3044709999999999</v>
      </c>
      <c r="H6" s="88"/>
    </row>
    <row r="7" spans="3:12" ht="19">
      <c r="C7" s="103" t="s">
        <v>186</v>
      </c>
      <c r="D7" s="71">
        <v>2.2355360000000002</v>
      </c>
      <c r="E7" s="89"/>
      <c r="F7" s="103" t="s">
        <v>206</v>
      </c>
      <c r="G7" s="71">
        <v>2.1927479999999999</v>
      </c>
      <c r="H7" s="88"/>
    </row>
    <row r="8" spans="3:12" ht="19">
      <c r="C8" s="103" t="s">
        <v>138</v>
      </c>
      <c r="D8" s="71">
        <v>2.2020870000000001</v>
      </c>
      <c r="E8" s="89"/>
      <c r="F8" s="103" t="s">
        <v>207</v>
      </c>
      <c r="G8" s="71">
        <v>2.1383589999999999</v>
      </c>
      <c r="H8" s="88"/>
    </row>
    <row r="9" spans="3:12" ht="19">
      <c r="C9" s="103" t="s">
        <v>187</v>
      </c>
      <c r="D9" s="71">
        <v>2.1203180000000001</v>
      </c>
      <c r="E9" s="89"/>
      <c r="F9" s="103" t="s">
        <v>208</v>
      </c>
      <c r="G9" s="71">
        <v>2.0484499999999999</v>
      </c>
      <c r="H9" s="88"/>
    </row>
    <row r="10" spans="3:12" ht="19">
      <c r="C10" s="103" t="s">
        <v>162</v>
      </c>
      <c r="D10" s="71">
        <v>2.0853329999999999</v>
      </c>
      <c r="E10" s="89"/>
      <c r="F10" s="103" t="s">
        <v>209</v>
      </c>
      <c r="G10" s="71">
        <v>2.031625</v>
      </c>
      <c r="H10" s="88"/>
    </row>
    <row r="11" spans="3:12" ht="19">
      <c r="C11" s="103" t="s">
        <v>188</v>
      </c>
      <c r="D11" s="71">
        <v>2.0326960000000001</v>
      </c>
      <c r="E11" s="89"/>
      <c r="F11" s="103" t="s">
        <v>210</v>
      </c>
      <c r="G11" s="71">
        <v>1.979095</v>
      </c>
      <c r="H11" s="88"/>
    </row>
    <row r="12" spans="3:12" ht="19">
      <c r="C12" s="103" t="s">
        <v>189</v>
      </c>
      <c r="D12" s="71">
        <v>2.0126200000000001</v>
      </c>
      <c r="E12" s="89"/>
      <c r="F12" s="103" t="s">
        <v>140</v>
      </c>
      <c r="G12" s="71">
        <v>1.950655</v>
      </c>
      <c r="H12" s="88"/>
    </row>
    <row r="13" spans="3:12" ht="19">
      <c r="C13" s="103" t="s">
        <v>166</v>
      </c>
      <c r="D13" s="71">
        <v>1.976027</v>
      </c>
      <c r="E13" s="89"/>
      <c r="F13" s="103" t="s">
        <v>107</v>
      </c>
      <c r="G13" s="71">
        <v>1.9248909999999999</v>
      </c>
      <c r="H13" s="88"/>
    </row>
    <row r="14" spans="3:12" ht="19">
      <c r="C14" s="103" t="s">
        <v>190</v>
      </c>
      <c r="D14" s="71">
        <v>1.909897</v>
      </c>
      <c r="E14" s="89"/>
      <c r="F14" s="103" t="s">
        <v>211</v>
      </c>
      <c r="G14" s="71">
        <v>1.909556</v>
      </c>
      <c r="H14" s="88"/>
    </row>
    <row r="15" spans="3:12" ht="19">
      <c r="C15" s="103" t="s">
        <v>191</v>
      </c>
      <c r="D15" s="71">
        <v>1.908925</v>
      </c>
      <c r="E15" s="89"/>
      <c r="F15" s="103" t="s">
        <v>212</v>
      </c>
      <c r="G15" s="71">
        <v>1.799755</v>
      </c>
      <c r="H15" s="88"/>
    </row>
    <row r="16" spans="3:12" ht="19">
      <c r="C16" s="103" t="s">
        <v>192</v>
      </c>
      <c r="D16" s="71">
        <v>1.854633</v>
      </c>
      <c r="E16" s="89"/>
      <c r="F16" s="103" t="s">
        <v>213</v>
      </c>
      <c r="G16" s="71">
        <v>1.7840290000000001</v>
      </c>
      <c r="H16" s="88"/>
    </row>
    <row r="17" spans="3:8" ht="19">
      <c r="C17" s="103" t="s">
        <v>193</v>
      </c>
      <c r="D17" s="71">
        <v>1.8487899999999999</v>
      </c>
      <c r="E17" s="89"/>
      <c r="F17" s="103" t="s">
        <v>214</v>
      </c>
      <c r="G17" s="71">
        <v>1.773992</v>
      </c>
      <c r="H17" s="88"/>
    </row>
    <row r="18" spans="3:8" ht="19">
      <c r="C18" s="103" t="s">
        <v>194</v>
      </c>
      <c r="D18" s="71">
        <v>1.7980389999999999</v>
      </c>
      <c r="E18" s="89"/>
      <c r="F18" s="103" t="s">
        <v>215</v>
      </c>
      <c r="G18" s="71">
        <v>1.742094</v>
      </c>
      <c r="H18" s="88"/>
    </row>
    <row r="19" spans="3:8" ht="19">
      <c r="C19" s="103" t="s">
        <v>156</v>
      </c>
      <c r="D19" s="71">
        <v>1.7973779999999999</v>
      </c>
      <c r="E19" s="89"/>
      <c r="F19" s="103" t="s">
        <v>143</v>
      </c>
      <c r="G19" s="71">
        <v>1.736267</v>
      </c>
      <c r="H19" s="88"/>
    </row>
    <row r="20" spans="3:8" ht="19">
      <c r="C20" s="103" t="s">
        <v>147</v>
      </c>
      <c r="D20" s="71">
        <v>1.790003</v>
      </c>
      <c r="E20" s="89"/>
      <c r="F20" s="103" t="s">
        <v>216</v>
      </c>
      <c r="G20" s="71">
        <v>1.725619</v>
      </c>
      <c r="H20" s="88"/>
    </row>
    <row r="21" spans="3:8" ht="19">
      <c r="C21" s="103" t="s">
        <v>178</v>
      </c>
      <c r="D21" s="71">
        <v>1.785566</v>
      </c>
      <c r="E21" s="89"/>
      <c r="F21" s="103" t="s">
        <v>217</v>
      </c>
      <c r="G21" s="71">
        <v>1.7224649999999999</v>
      </c>
      <c r="H21" s="88"/>
    </row>
    <row r="22" spans="3:8" ht="19">
      <c r="C22" s="103" t="s">
        <v>195</v>
      </c>
      <c r="D22" s="71">
        <v>1.7777780000000001</v>
      </c>
      <c r="E22" s="89"/>
      <c r="F22" s="103" t="s">
        <v>218</v>
      </c>
      <c r="G22" s="71">
        <v>1.715595</v>
      </c>
      <c r="H22" s="88"/>
    </row>
    <row r="23" spans="3:8" ht="19">
      <c r="C23" s="103" t="s">
        <v>179</v>
      </c>
      <c r="D23" s="71">
        <v>1.7694160000000001</v>
      </c>
      <c r="E23" s="89"/>
      <c r="F23" s="103" t="s">
        <v>165</v>
      </c>
      <c r="G23" s="71">
        <v>1.695597</v>
      </c>
      <c r="H23" s="88"/>
    </row>
    <row r="24" spans="3:8" ht="19">
      <c r="C24" s="103" t="s">
        <v>169</v>
      </c>
      <c r="D24" s="71">
        <v>1.76126</v>
      </c>
      <c r="E24" s="89"/>
      <c r="F24" s="103" t="s">
        <v>219</v>
      </c>
      <c r="G24" s="71">
        <v>1.6843509999999999</v>
      </c>
      <c r="H24" s="88"/>
    </row>
    <row r="25" spans="3:8" ht="19">
      <c r="C25" s="103" t="s">
        <v>196</v>
      </c>
      <c r="D25" s="71">
        <v>1.739142</v>
      </c>
      <c r="E25" s="89"/>
      <c r="F25" s="103" t="s">
        <v>133</v>
      </c>
      <c r="G25" s="71">
        <v>1.657065</v>
      </c>
      <c r="H25" s="88"/>
    </row>
    <row r="26" spans="3:8" ht="19">
      <c r="C26" s="103" t="s">
        <v>174</v>
      </c>
      <c r="D26" s="71">
        <v>1.6962200000000001</v>
      </c>
      <c r="E26" s="89"/>
      <c r="F26" s="103" t="s">
        <v>220</v>
      </c>
      <c r="G26" s="71">
        <v>1.630306</v>
      </c>
      <c r="H26" s="88"/>
    </row>
    <row r="27" spans="3:8" ht="19">
      <c r="C27" s="103" t="s">
        <v>154</v>
      </c>
      <c r="D27" s="71">
        <v>1.693913</v>
      </c>
      <c r="E27" s="89"/>
      <c r="F27" s="103" t="s">
        <v>177</v>
      </c>
      <c r="G27" s="71">
        <v>1.618185</v>
      </c>
      <c r="H27" s="88"/>
    </row>
    <row r="28" spans="3:8" ht="19">
      <c r="C28" s="103" t="s">
        <v>197</v>
      </c>
      <c r="D28" s="71">
        <v>1.667681</v>
      </c>
      <c r="E28" s="89"/>
      <c r="F28" s="103" t="s">
        <v>221</v>
      </c>
      <c r="G28" s="71">
        <v>1.6104149999999999</v>
      </c>
      <c r="H28" s="88"/>
    </row>
    <row r="29" spans="3:8" ht="19">
      <c r="C29" s="103" t="s">
        <v>198</v>
      </c>
      <c r="D29" s="71">
        <v>1.6589780000000001</v>
      </c>
      <c r="E29" s="89"/>
      <c r="F29" s="103" t="s">
        <v>222</v>
      </c>
      <c r="G29" s="71">
        <v>1.60653</v>
      </c>
      <c r="H29" s="88"/>
    </row>
    <row r="30" spans="3:8" ht="19">
      <c r="C30" s="103" t="s">
        <v>199</v>
      </c>
      <c r="D30" s="71">
        <v>1.654488</v>
      </c>
      <c r="E30" s="89"/>
      <c r="F30" s="103" t="s">
        <v>223</v>
      </c>
      <c r="G30" s="71">
        <v>1.6002730000000001</v>
      </c>
      <c r="H30" s="88"/>
    </row>
    <row r="31" spans="3:8" ht="19">
      <c r="C31" s="103" t="s">
        <v>200</v>
      </c>
      <c r="D31" s="71">
        <v>1.6247229999999999</v>
      </c>
      <c r="E31" s="89"/>
      <c r="F31" s="103" t="s">
        <v>224</v>
      </c>
      <c r="G31" s="71">
        <v>1.5993360000000001</v>
      </c>
      <c r="H31" s="88"/>
    </row>
    <row r="32" spans="3:8" ht="19">
      <c r="C32" s="103" t="s">
        <v>201</v>
      </c>
      <c r="D32" s="71">
        <v>1.598257</v>
      </c>
      <c r="E32" s="89"/>
      <c r="F32" s="103" t="s">
        <v>225</v>
      </c>
      <c r="G32" s="71">
        <v>1.5991690000000001</v>
      </c>
      <c r="H32" s="88"/>
    </row>
    <row r="33" spans="3:8" ht="19">
      <c r="C33" s="103" t="s">
        <v>202</v>
      </c>
      <c r="D33" s="71">
        <v>1.589353</v>
      </c>
      <c r="E33" s="89"/>
      <c r="F33" s="103" t="s">
        <v>226</v>
      </c>
      <c r="G33" s="71">
        <v>1.593648</v>
      </c>
      <c r="H33" s="88"/>
    </row>
    <row r="34" spans="3:8" ht="20" thickBot="1">
      <c r="C34" s="104" t="s">
        <v>142</v>
      </c>
      <c r="D34" s="72">
        <v>1.5873630000000001</v>
      </c>
      <c r="E34" s="89"/>
      <c r="F34" s="104" t="s">
        <v>227</v>
      </c>
      <c r="G34" s="72">
        <v>1.558516</v>
      </c>
      <c r="H34" s="88"/>
    </row>
  </sheetData>
  <mergeCells count="2">
    <mergeCell ref="C3:D3"/>
    <mergeCell ref="F3:G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86119-EA22-4441-ACBD-C9A33526842F}">
  <dimension ref="D2:H34"/>
  <sheetViews>
    <sheetView showGridLines="0" workbookViewId="0">
      <selection activeCell="D3" sqref="D3:E34"/>
    </sheetView>
  </sheetViews>
  <sheetFormatPr baseColWidth="10" defaultRowHeight="16"/>
  <cols>
    <col min="4" max="8" width="15.83203125" style="88" customWidth="1"/>
  </cols>
  <sheetData>
    <row r="2" spans="4:8" ht="20" thickBot="1">
      <c r="D2" s="143" t="s">
        <v>19</v>
      </c>
      <c r="E2" s="143"/>
      <c r="F2" s="5"/>
      <c r="G2" s="143" t="s">
        <v>19</v>
      </c>
      <c r="H2" s="143"/>
    </row>
    <row r="3" spans="4:8" ht="19">
      <c r="D3" s="140" t="s">
        <v>183</v>
      </c>
      <c r="E3" s="140"/>
      <c r="G3" s="142" t="s">
        <v>264</v>
      </c>
      <c r="H3" s="140"/>
    </row>
    <row r="4" spans="4:8" ht="19">
      <c r="D4" s="101" t="s">
        <v>180</v>
      </c>
      <c r="E4" s="102" t="s">
        <v>181</v>
      </c>
      <c r="F4" s="89"/>
      <c r="G4" s="101" t="s">
        <v>180</v>
      </c>
      <c r="H4" s="102" t="s">
        <v>181</v>
      </c>
    </row>
    <row r="5" spans="4:8" ht="19">
      <c r="D5" s="103" t="s">
        <v>112</v>
      </c>
      <c r="E5" s="71">
        <v>4.4470530000000004</v>
      </c>
      <c r="F5" s="89"/>
      <c r="G5" s="103" t="s">
        <v>184</v>
      </c>
      <c r="H5" s="71">
        <v>4.9470970000000003</v>
      </c>
    </row>
    <row r="6" spans="4:8" ht="19">
      <c r="D6" s="103" t="s">
        <v>235</v>
      </c>
      <c r="E6" s="71">
        <v>3.8911709999999999</v>
      </c>
      <c r="F6" s="89"/>
      <c r="G6" s="103" t="s">
        <v>147</v>
      </c>
      <c r="H6" s="71">
        <v>4.6258569999999999</v>
      </c>
    </row>
    <row r="7" spans="4:8" ht="19">
      <c r="D7" s="103" t="s">
        <v>236</v>
      </c>
      <c r="E7" s="71">
        <v>3.798524</v>
      </c>
      <c r="F7" s="89"/>
      <c r="G7" s="103" t="s">
        <v>230</v>
      </c>
      <c r="H7" s="71">
        <v>4.3174659999999996</v>
      </c>
    </row>
    <row r="8" spans="4:8" ht="19">
      <c r="D8" s="103" t="s">
        <v>111</v>
      </c>
      <c r="E8" s="71">
        <v>3.4588190000000001</v>
      </c>
      <c r="F8" s="89"/>
      <c r="G8" s="103" t="s">
        <v>252</v>
      </c>
      <c r="H8" s="71">
        <v>3.7777829999999999</v>
      </c>
    </row>
    <row r="9" spans="4:8" ht="19">
      <c r="D9" s="103" t="s">
        <v>196</v>
      </c>
      <c r="E9" s="71">
        <v>2.872055</v>
      </c>
      <c r="F9" s="89"/>
      <c r="G9" s="103" t="s">
        <v>174</v>
      </c>
      <c r="H9" s="71">
        <v>3.2381000000000002</v>
      </c>
    </row>
    <row r="10" spans="4:8" ht="19">
      <c r="D10" s="103" t="s">
        <v>237</v>
      </c>
      <c r="E10" s="71">
        <v>2.7794080000000001</v>
      </c>
      <c r="F10" s="89"/>
      <c r="G10" s="103" t="s">
        <v>228</v>
      </c>
      <c r="H10" s="71">
        <v>3.2381000000000002</v>
      </c>
    </row>
    <row r="11" spans="4:8" ht="19">
      <c r="D11" s="103" t="s">
        <v>120</v>
      </c>
      <c r="E11" s="71">
        <v>2.5941139999999998</v>
      </c>
      <c r="F11" s="89"/>
      <c r="G11" s="103" t="s">
        <v>253</v>
      </c>
      <c r="H11" s="71">
        <v>3.2381000000000002</v>
      </c>
    </row>
    <row r="12" spans="4:8" ht="19">
      <c r="D12" s="103" t="s">
        <v>238</v>
      </c>
      <c r="E12" s="71">
        <v>2.5941139999999998</v>
      </c>
      <c r="F12" s="89"/>
      <c r="G12" s="103" t="s">
        <v>254</v>
      </c>
      <c r="H12" s="71">
        <v>3.0839050000000001</v>
      </c>
    </row>
    <row r="13" spans="4:8" ht="19">
      <c r="D13" s="103" t="s">
        <v>131</v>
      </c>
      <c r="E13" s="71">
        <v>2.5570550000000001</v>
      </c>
      <c r="F13" s="89"/>
      <c r="G13" s="103" t="s">
        <v>231</v>
      </c>
      <c r="H13" s="71">
        <v>3.0357189999999998</v>
      </c>
    </row>
    <row r="14" spans="4:8" ht="19">
      <c r="D14" s="103" t="s">
        <v>218</v>
      </c>
      <c r="E14" s="71">
        <v>2.40882</v>
      </c>
      <c r="F14" s="89"/>
      <c r="G14" s="103" t="s">
        <v>255</v>
      </c>
      <c r="H14" s="71">
        <v>2.9232849999999999</v>
      </c>
    </row>
    <row r="15" spans="4:8" ht="19">
      <c r="D15" s="103" t="s">
        <v>239</v>
      </c>
      <c r="E15" s="71">
        <v>2.40882</v>
      </c>
      <c r="F15" s="89"/>
      <c r="G15" s="103" t="s">
        <v>256</v>
      </c>
      <c r="H15" s="71">
        <v>2.6984170000000001</v>
      </c>
    </row>
    <row r="16" spans="4:8" ht="19">
      <c r="D16" s="103" t="s">
        <v>137</v>
      </c>
      <c r="E16" s="71">
        <v>2.40882</v>
      </c>
      <c r="F16" s="89"/>
      <c r="G16" s="103" t="s">
        <v>257</v>
      </c>
      <c r="H16" s="71">
        <v>2.6984170000000001</v>
      </c>
    </row>
    <row r="17" spans="4:8" ht="19">
      <c r="D17" s="103" t="s">
        <v>240</v>
      </c>
      <c r="E17" s="71">
        <v>2.3882319999999999</v>
      </c>
      <c r="F17" s="89"/>
      <c r="G17" s="103" t="s">
        <v>258</v>
      </c>
      <c r="H17" s="71">
        <v>2.6984170000000001</v>
      </c>
    </row>
    <row r="18" spans="4:8" ht="19">
      <c r="D18" s="103" t="s">
        <v>210</v>
      </c>
      <c r="E18" s="71">
        <v>2.3470559999999998</v>
      </c>
      <c r="F18" s="89"/>
      <c r="G18" s="103" t="s">
        <v>259</v>
      </c>
      <c r="H18" s="71">
        <v>2.6984170000000001</v>
      </c>
    </row>
    <row r="19" spans="4:8" ht="19">
      <c r="D19" s="103" t="s">
        <v>241</v>
      </c>
      <c r="E19" s="71">
        <v>2.3470559999999998</v>
      </c>
      <c r="F19" s="89"/>
      <c r="G19" s="103" t="s">
        <v>260</v>
      </c>
      <c r="H19" s="71">
        <v>2.6984170000000001</v>
      </c>
    </row>
    <row r="20" spans="4:8" ht="19">
      <c r="D20" s="103" t="s">
        <v>134</v>
      </c>
      <c r="E20" s="71">
        <v>2.316173</v>
      </c>
      <c r="F20" s="89"/>
      <c r="G20" s="103" t="s">
        <v>229</v>
      </c>
      <c r="H20" s="71">
        <v>2.6984170000000001</v>
      </c>
    </row>
    <row r="21" spans="4:8" ht="19">
      <c r="D21" s="103" t="s">
        <v>242</v>
      </c>
      <c r="E21" s="71">
        <v>2.285291</v>
      </c>
      <c r="F21" s="89"/>
      <c r="G21" s="103" t="s">
        <v>141</v>
      </c>
      <c r="H21" s="71">
        <v>2.6984170000000001</v>
      </c>
    </row>
    <row r="22" spans="4:8" ht="19">
      <c r="D22" s="103" t="s">
        <v>116</v>
      </c>
      <c r="E22" s="71">
        <v>2.2235260000000001</v>
      </c>
      <c r="F22" s="89"/>
      <c r="G22" s="103" t="s">
        <v>204</v>
      </c>
      <c r="H22" s="71">
        <v>2.6984170000000001</v>
      </c>
    </row>
    <row r="23" spans="4:8" ht="19">
      <c r="D23" s="103" t="s">
        <v>243</v>
      </c>
      <c r="E23" s="71">
        <v>2.2235260000000001</v>
      </c>
      <c r="F23" s="89"/>
      <c r="G23" s="103" t="s">
        <v>193</v>
      </c>
      <c r="H23" s="71">
        <v>2.5056720000000001</v>
      </c>
    </row>
    <row r="24" spans="4:8" ht="19">
      <c r="D24" s="103" t="s">
        <v>244</v>
      </c>
      <c r="E24" s="71">
        <v>2.1494089999999999</v>
      </c>
      <c r="F24" s="89"/>
      <c r="G24" s="103" t="s">
        <v>168</v>
      </c>
      <c r="H24" s="71">
        <v>2.4908459999999999</v>
      </c>
    </row>
    <row r="25" spans="4:8" ht="19">
      <c r="D25" s="103" t="s">
        <v>245</v>
      </c>
      <c r="E25" s="71">
        <v>2.1176439999999999</v>
      </c>
      <c r="F25" s="89"/>
      <c r="G25" s="103" t="s">
        <v>139</v>
      </c>
      <c r="H25" s="71">
        <v>2.4285749999999999</v>
      </c>
    </row>
    <row r="26" spans="4:8" ht="19">
      <c r="D26" s="103" t="s">
        <v>246</v>
      </c>
      <c r="E26" s="71">
        <v>2.0999970000000001</v>
      </c>
      <c r="F26" s="89"/>
      <c r="G26" s="103" t="s">
        <v>175</v>
      </c>
      <c r="H26" s="71">
        <v>2.3985919999999998</v>
      </c>
    </row>
    <row r="27" spans="4:8" ht="19">
      <c r="D27" s="103" t="s">
        <v>247</v>
      </c>
      <c r="E27" s="71">
        <v>2.0382319999999998</v>
      </c>
      <c r="F27" s="89"/>
      <c r="G27" s="103" t="s">
        <v>176</v>
      </c>
      <c r="H27" s="71">
        <v>2.3985919999999998</v>
      </c>
    </row>
    <row r="28" spans="4:8" ht="19">
      <c r="D28" s="103" t="s">
        <v>232</v>
      </c>
      <c r="E28" s="71">
        <v>2.0382319999999998</v>
      </c>
      <c r="F28" s="89"/>
      <c r="G28" s="103" t="s">
        <v>261</v>
      </c>
      <c r="H28" s="71">
        <v>2.3129279999999999</v>
      </c>
    </row>
    <row r="29" spans="4:8" ht="19">
      <c r="D29" s="103" t="s">
        <v>248</v>
      </c>
      <c r="E29" s="71">
        <v>2.0382319999999998</v>
      </c>
      <c r="F29" s="89"/>
      <c r="G29" s="103" t="s">
        <v>152</v>
      </c>
      <c r="H29" s="71">
        <v>2.3129279999999999</v>
      </c>
    </row>
    <row r="30" spans="4:8" ht="19">
      <c r="D30" s="103" t="s">
        <v>249</v>
      </c>
      <c r="E30" s="71">
        <v>2.0382319999999998</v>
      </c>
      <c r="F30" s="89"/>
      <c r="G30" s="103" t="s">
        <v>213</v>
      </c>
      <c r="H30" s="71">
        <v>2.2486799999999998</v>
      </c>
    </row>
    <row r="31" spans="4:8" ht="19">
      <c r="D31" s="103" t="s">
        <v>250</v>
      </c>
      <c r="E31" s="71">
        <v>2.0382319999999998</v>
      </c>
      <c r="F31" s="89"/>
      <c r="G31" s="103" t="s">
        <v>262</v>
      </c>
      <c r="H31" s="71">
        <v>2.2486799999999998</v>
      </c>
    </row>
    <row r="32" spans="4:8" ht="19">
      <c r="D32" s="103" t="s">
        <v>186</v>
      </c>
      <c r="E32" s="71">
        <v>2.0382319999999998</v>
      </c>
      <c r="F32" s="89"/>
      <c r="G32" s="103" t="s">
        <v>263</v>
      </c>
      <c r="H32" s="71">
        <v>2.2486799999999998</v>
      </c>
    </row>
    <row r="33" spans="4:8" ht="19">
      <c r="D33" s="103" t="s">
        <v>251</v>
      </c>
      <c r="E33" s="71">
        <v>2.0382319999999998</v>
      </c>
      <c r="F33" s="89"/>
      <c r="G33" s="103" t="s">
        <v>146</v>
      </c>
      <c r="H33" s="71">
        <v>2.2486799999999998</v>
      </c>
    </row>
    <row r="34" spans="4:8" ht="20" thickBot="1">
      <c r="D34" s="104" t="s">
        <v>203</v>
      </c>
      <c r="E34" s="72">
        <v>2.0011739999999998</v>
      </c>
      <c r="F34" s="89"/>
      <c r="G34" s="104" t="s">
        <v>125</v>
      </c>
      <c r="H34" s="72">
        <v>2.2486799999999998</v>
      </c>
    </row>
  </sheetData>
  <mergeCells count="4">
    <mergeCell ref="D3:E3"/>
    <mergeCell ref="G3:H3"/>
    <mergeCell ref="D2:E2"/>
    <mergeCell ref="G2:H2"/>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C4430C-87CA-6F43-8DC7-986761CEB987}">
  <dimension ref="C2:G34"/>
  <sheetViews>
    <sheetView showGridLines="0" workbookViewId="0">
      <selection activeCell="M23" sqref="M23"/>
    </sheetView>
  </sheetViews>
  <sheetFormatPr baseColWidth="10" defaultRowHeight="16"/>
  <cols>
    <col min="3" max="7" width="18.33203125" customWidth="1"/>
  </cols>
  <sheetData>
    <row r="2" spans="3:7" ht="20" thickBot="1">
      <c r="C2" s="143" t="s">
        <v>18</v>
      </c>
      <c r="D2" s="143"/>
      <c r="F2" s="143" t="s">
        <v>18</v>
      </c>
      <c r="G2" s="143"/>
    </row>
    <row r="3" spans="3:7" ht="19">
      <c r="C3" s="140" t="s">
        <v>183</v>
      </c>
      <c r="D3" s="140"/>
      <c r="F3" s="140" t="s">
        <v>182</v>
      </c>
      <c r="G3" s="140"/>
    </row>
    <row r="4" spans="3:7" ht="19">
      <c r="C4" s="101" t="s">
        <v>180</v>
      </c>
      <c r="D4" s="102" t="s">
        <v>181</v>
      </c>
      <c r="F4" s="101" t="s">
        <v>180</v>
      </c>
      <c r="G4" s="102" t="s">
        <v>181</v>
      </c>
    </row>
    <row r="5" spans="3:7" ht="19">
      <c r="C5" s="103" t="s">
        <v>107</v>
      </c>
      <c r="D5" s="71">
        <v>2.3942589999999999</v>
      </c>
      <c r="F5" s="103" t="s">
        <v>144</v>
      </c>
      <c r="G5" s="71">
        <v>1.703484</v>
      </c>
    </row>
    <row r="6" spans="3:7" ht="19">
      <c r="C6" s="103" t="s">
        <v>108</v>
      </c>
      <c r="D6" s="71">
        <v>2.0565519999999999</v>
      </c>
      <c r="F6" s="103" t="s">
        <v>145</v>
      </c>
      <c r="G6" s="71">
        <v>1.643257</v>
      </c>
    </row>
    <row r="7" spans="3:7" ht="19">
      <c r="C7" s="103" t="s">
        <v>109</v>
      </c>
      <c r="D7" s="71">
        <v>1.9642759999999999</v>
      </c>
      <c r="F7" s="103" t="s">
        <v>146</v>
      </c>
      <c r="G7" s="71">
        <v>1.520105</v>
      </c>
    </row>
    <row r="8" spans="3:7" ht="19">
      <c r="C8" s="103" t="s">
        <v>110</v>
      </c>
      <c r="D8" s="71">
        <v>1.7999890000000001</v>
      </c>
      <c r="F8" s="103" t="s">
        <v>147</v>
      </c>
      <c r="G8" s="71">
        <v>1.452302</v>
      </c>
    </row>
    <row r="9" spans="3:7" ht="19">
      <c r="C9" s="103" t="s">
        <v>111</v>
      </c>
      <c r="D9" s="71">
        <v>1.6616359999999999</v>
      </c>
      <c r="F9" s="103" t="s">
        <v>149</v>
      </c>
      <c r="G9" s="71">
        <v>1.4488540000000001</v>
      </c>
    </row>
    <row r="10" spans="3:7" ht="19">
      <c r="C10" s="103" t="s">
        <v>112</v>
      </c>
      <c r="D10" s="71">
        <v>1.5652699999999999</v>
      </c>
      <c r="F10" s="103" t="s">
        <v>150</v>
      </c>
      <c r="G10" s="71">
        <v>1.4473689999999999</v>
      </c>
    </row>
    <row r="11" spans="3:7" ht="19">
      <c r="C11" s="103" t="s">
        <v>113</v>
      </c>
      <c r="D11" s="71">
        <v>1.510078</v>
      </c>
      <c r="F11" s="103" t="s">
        <v>148</v>
      </c>
      <c r="G11" s="71">
        <v>1.4237679999999999</v>
      </c>
    </row>
    <row r="12" spans="3:7" ht="19">
      <c r="C12" s="103" t="s">
        <v>114</v>
      </c>
      <c r="D12" s="71">
        <v>1.4967140000000001</v>
      </c>
      <c r="F12" s="103" t="s">
        <v>151</v>
      </c>
      <c r="G12" s="71">
        <v>1.3976329999999999</v>
      </c>
    </row>
    <row r="13" spans="3:7" ht="19">
      <c r="C13" s="103" t="s">
        <v>115</v>
      </c>
      <c r="D13" s="71">
        <v>1.469195</v>
      </c>
      <c r="F13" s="103" t="s">
        <v>265</v>
      </c>
      <c r="G13" s="71">
        <v>1.394388</v>
      </c>
    </row>
    <row r="14" spans="3:7" ht="19">
      <c r="C14" s="103" t="s">
        <v>116</v>
      </c>
      <c r="D14" s="71">
        <v>1.4643379999999999</v>
      </c>
      <c r="F14" s="103" t="s">
        <v>153</v>
      </c>
      <c r="G14" s="71">
        <v>1.384946</v>
      </c>
    </row>
    <row r="15" spans="3:7" ht="19">
      <c r="C15" s="103" t="s">
        <v>117</v>
      </c>
      <c r="D15" s="71">
        <v>1.4236420000000001</v>
      </c>
      <c r="F15" s="103" t="s">
        <v>152</v>
      </c>
      <c r="G15" s="71">
        <v>1.371896</v>
      </c>
    </row>
    <row r="16" spans="3:7" ht="19">
      <c r="C16" s="103" t="s">
        <v>118</v>
      </c>
      <c r="D16" s="71">
        <v>1.387581</v>
      </c>
      <c r="F16" s="103" t="s">
        <v>154</v>
      </c>
      <c r="G16" s="71">
        <v>1.370385</v>
      </c>
    </row>
    <row r="17" spans="3:7" ht="19">
      <c r="C17" s="103" t="s">
        <v>119</v>
      </c>
      <c r="D17" s="71">
        <v>1.378746</v>
      </c>
      <c r="F17" s="103" t="s">
        <v>155</v>
      </c>
      <c r="G17" s="71">
        <v>1.364293</v>
      </c>
    </row>
    <row r="18" spans="3:7" ht="19">
      <c r="C18" s="103" t="s">
        <v>120</v>
      </c>
      <c r="D18" s="71">
        <v>1.3373699999999999</v>
      </c>
      <c r="F18" s="103" t="s">
        <v>156</v>
      </c>
      <c r="G18" s="71">
        <v>1.3460939999999999</v>
      </c>
    </row>
    <row r="19" spans="3:7" ht="19">
      <c r="C19" s="103" t="s">
        <v>122</v>
      </c>
      <c r="D19" s="71">
        <v>1.3303199999999999</v>
      </c>
      <c r="F19" s="103" t="s">
        <v>158</v>
      </c>
      <c r="G19" s="71">
        <v>1.34395</v>
      </c>
    </row>
    <row r="20" spans="3:7" ht="19">
      <c r="C20" s="103" t="s">
        <v>121</v>
      </c>
      <c r="D20" s="71">
        <v>1.3297760000000001</v>
      </c>
      <c r="F20" s="103" t="s">
        <v>157</v>
      </c>
      <c r="G20" s="71">
        <v>1.3389679999999999</v>
      </c>
    </row>
    <row r="21" spans="3:7" ht="19">
      <c r="C21" s="103" t="s">
        <v>125</v>
      </c>
      <c r="D21" s="71">
        <v>1.327383</v>
      </c>
      <c r="F21" s="103" t="s">
        <v>159</v>
      </c>
      <c r="G21" s="71">
        <v>1.3263929999999999</v>
      </c>
    </row>
    <row r="22" spans="3:7" ht="19">
      <c r="C22" s="103" t="s">
        <v>124</v>
      </c>
      <c r="D22" s="71">
        <v>1.3209139999999999</v>
      </c>
      <c r="F22" s="103" t="s">
        <v>162</v>
      </c>
      <c r="G22" s="71">
        <v>1.3191360000000001</v>
      </c>
    </row>
    <row r="23" spans="3:7" ht="19">
      <c r="C23" s="103" t="s">
        <v>123</v>
      </c>
      <c r="D23" s="71">
        <v>1.315768</v>
      </c>
      <c r="F23" s="103" t="s">
        <v>160</v>
      </c>
      <c r="G23" s="71">
        <v>1.3139339999999999</v>
      </c>
    </row>
    <row r="24" spans="3:7" ht="19">
      <c r="C24" s="103" t="s">
        <v>126</v>
      </c>
      <c r="D24" s="71">
        <v>1.3150949999999999</v>
      </c>
      <c r="F24" s="103" t="s">
        <v>161</v>
      </c>
      <c r="G24" s="71">
        <v>1.3082659999999999</v>
      </c>
    </row>
    <row r="25" spans="3:7" ht="19">
      <c r="C25" s="103" t="s">
        <v>129</v>
      </c>
      <c r="D25" s="71">
        <v>1.3016380000000001</v>
      </c>
      <c r="F25" s="103" t="s">
        <v>163</v>
      </c>
      <c r="G25" s="71">
        <v>1.298894</v>
      </c>
    </row>
    <row r="26" spans="3:7" ht="19">
      <c r="C26" s="103" t="s">
        <v>130</v>
      </c>
      <c r="D26" s="71">
        <v>1.295358</v>
      </c>
      <c r="F26" s="103" t="s">
        <v>166</v>
      </c>
      <c r="G26" s="71">
        <v>1.29383</v>
      </c>
    </row>
    <row r="27" spans="3:7" ht="19">
      <c r="C27" s="103" t="s">
        <v>127</v>
      </c>
      <c r="D27" s="71">
        <v>1.290665</v>
      </c>
      <c r="F27" s="103" t="s">
        <v>165</v>
      </c>
      <c r="G27" s="71">
        <v>1.2858019999999999</v>
      </c>
    </row>
    <row r="28" spans="3:7" ht="19">
      <c r="C28" s="103" t="s">
        <v>128</v>
      </c>
      <c r="D28" s="71">
        <v>1.2883180000000001</v>
      </c>
      <c r="F28" s="103" t="s">
        <v>164</v>
      </c>
      <c r="G28" s="71">
        <v>1.284702</v>
      </c>
    </row>
    <row r="29" spans="3:7" ht="19">
      <c r="C29" s="103" t="s">
        <v>131</v>
      </c>
      <c r="D29" s="71">
        <v>1.276043</v>
      </c>
      <c r="F29" s="103" t="s">
        <v>167</v>
      </c>
      <c r="G29" s="71">
        <v>1.282672</v>
      </c>
    </row>
    <row r="30" spans="3:7" ht="19">
      <c r="C30" s="103" t="s">
        <v>132</v>
      </c>
      <c r="D30" s="71">
        <v>1.2675460000000001</v>
      </c>
      <c r="F30" s="103" t="s">
        <v>168</v>
      </c>
      <c r="G30" s="71">
        <v>1.264011</v>
      </c>
    </row>
    <row r="31" spans="3:7" ht="19">
      <c r="C31" s="103" t="s">
        <v>133</v>
      </c>
      <c r="D31" s="71">
        <v>1.253323</v>
      </c>
      <c r="F31" s="103" t="s">
        <v>169</v>
      </c>
      <c r="G31" s="71">
        <v>1.2635730000000001</v>
      </c>
    </row>
    <row r="32" spans="3:7" ht="19">
      <c r="C32" s="103" t="s">
        <v>135</v>
      </c>
      <c r="D32" s="71">
        <v>1.242167</v>
      </c>
      <c r="F32" s="103" t="s">
        <v>266</v>
      </c>
      <c r="G32" s="71">
        <v>1.2553399999999999</v>
      </c>
    </row>
    <row r="33" spans="3:7" ht="19">
      <c r="C33" s="103" t="s">
        <v>136</v>
      </c>
      <c r="D33" s="71">
        <v>1.240974</v>
      </c>
      <c r="F33" s="103" t="s">
        <v>173</v>
      </c>
      <c r="G33" s="71">
        <v>1.2547349999999999</v>
      </c>
    </row>
    <row r="34" spans="3:7" ht="20" thickBot="1">
      <c r="C34" s="104" t="s">
        <v>134</v>
      </c>
      <c r="D34" s="72">
        <v>1.2388570000000001</v>
      </c>
      <c r="F34" s="104" t="s">
        <v>218</v>
      </c>
      <c r="G34" s="72">
        <v>1.253911</v>
      </c>
    </row>
  </sheetData>
  <mergeCells count="4">
    <mergeCell ref="C3:D3"/>
    <mergeCell ref="F3:G3"/>
    <mergeCell ref="C2:D2"/>
    <mergeCell ref="F2:G2"/>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910A5-9A3F-4641-9150-E0100DBFB51F}">
  <dimension ref="A1:M13"/>
  <sheetViews>
    <sheetView showGridLines="0" workbookViewId="0">
      <selection activeCell="N18" sqref="N18"/>
    </sheetView>
  </sheetViews>
  <sheetFormatPr baseColWidth="10" defaultRowHeight="16"/>
  <cols>
    <col min="3" max="4" width="18.6640625" customWidth="1"/>
    <col min="5" max="5" width="4.1640625" customWidth="1"/>
    <col min="6" max="7" width="18.6640625" customWidth="1"/>
    <col min="8" max="8" width="3.83203125" customWidth="1"/>
    <col min="9" max="10" width="18.6640625" customWidth="1"/>
    <col min="11" max="11" width="3" customWidth="1"/>
    <col min="12" max="13" width="18.6640625" customWidth="1"/>
  </cols>
  <sheetData>
    <row r="1" spans="1:13" ht="17" thickBot="1">
      <c r="A1" t="s">
        <v>278</v>
      </c>
      <c r="C1" s="107"/>
      <c r="D1" s="107"/>
      <c r="F1" s="107"/>
      <c r="G1" s="107"/>
      <c r="I1" s="107"/>
      <c r="J1" s="107"/>
      <c r="L1" s="107"/>
      <c r="M1" s="107"/>
    </row>
    <row r="2" spans="1:13">
      <c r="C2" s="144" t="s">
        <v>304</v>
      </c>
      <c r="D2" s="144"/>
      <c r="F2" s="144" t="s">
        <v>305</v>
      </c>
      <c r="G2" s="144"/>
      <c r="I2" s="144" t="s">
        <v>306</v>
      </c>
      <c r="J2" s="144"/>
      <c r="L2" s="144" t="s">
        <v>307</v>
      </c>
      <c r="M2" s="144"/>
    </row>
    <row r="3" spans="1:13">
      <c r="C3" s="110" t="s">
        <v>180</v>
      </c>
      <c r="D3" s="110" t="s">
        <v>308</v>
      </c>
      <c r="F3" s="110" t="s">
        <v>180</v>
      </c>
      <c r="G3" s="110" t="s">
        <v>308</v>
      </c>
      <c r="I3" s="110" t="s">
        <v>180</v>
      </c>
      <c r="J3" s="110" t="s">
        <v>308</v>
      </c>
      <c r="L3" s="110" t="s">
        <v>180</v>
      </c>
      <c r="M3" s="110" t="s">
        <v>308</v>
      </c>
    </row>
    <row r="4" spans="1:13" ht="19">
      <c r="B4" s="105"/>
      <c r="C4" s="21" t="s">
        <v>268</v>
      </c>
      <c r="D4" s="106">
        <v>0.63612270355224598</v>
      </c>
      <c r="F4" s="21" t="s">
        <v>279</v>
      </c>
      <c r="G4" s="106">
        <v>0.86397641897201505</v>
      </c>
      <c r="I4" s="21" t="s">
        <v>289</v>
      </c>
      <c r="J4" s="106">
        <v>0.40445759892463601</v>
      </c>
      <c r="L4" s="21" t="s">
        <v>294</v>
      </c>
      <c r="M4" s="106">
        <v>0.42933630943298301</v>
      </c>
    </row>
    <row r="5" spans="1:13" ht="19">
      <c r="B5" s="105" t="s">
        <v>267</v>
      </c>
      <c r="C5" s="21" t="s">
        <v>269</v>
      </c>
      <c r="D5" s="106">
        <v>0.57095026969909601</v>
      </c>
      <c r="F5" s="21" t="s">
        <v>280</v>
      </c>
      <c r="G5" s="106">
        <v>0.49755644798278797</v>
      </c>
      <c r="I5" s="21" t="s">
        <v>274</v>
      </c>
      <c r="J5" s="106">
        <v>0.40090459585189803</v>
      </c>
      <c r="L5" s="21" t="s">
        <v>295</v>
      </c>
      <c r="M5" s="106">
        <v>0.419919192790985</v>
      </c>
    </row>
    <row r="6" spans="1:13" ht="19">
      <c r="B6" s="105" t="s">
        <v>267</v>
      </c>
      <c r="C6" s="21" t="s">
        <v>270</v>
      </c>
      <c r="D6" s="106">
        <v>0.56219744682312001</v>
      </c>
      <c r="F6" s="21" t="s">
        <v>281</v>
      </c>
      <c r="G6" s="106">
        <v>0.493698179721832</v>
      </c>
      <c r="I6" s="21" t="s">
        <v>290</v>
      </c>
      <c r="J6" s="106">
        <v>0.39058697223663302</v>
      </c>
      <c r="L6" s="21" t="s">
        <v>296</v>
      </c>
      <c r="M6" s="106">
        <v>0.409164488315582</v>
      </c>
    </row>
    <row r="7" spans="1:13" ht="19">
      <c r="B7" s="105" t="s">
        <v>267</v>
      </c>
      <c r="C7" s="21" t="s">
        <v>271</v>
      </c>
      <c r="D7" s="106">
        <v>0.555744528770446</v>
      </c>
      <c r="F7" s="21" t="s">
        <v>282</v>
      </c>
      <c r="G7" s="106">
        <v>0.46479690074920599</v>
      </c>
      <c r="I7" s="21" t="s">
        <v>272</v>
      </c>
      <c r="J7" s="106">
        <v>0.37096530199050898</v>
      </c>
      <c r="L7" s="21" t="s">
        <v>297</v>
      </c>
      <c r="M7" s="106">
        <v>0.36678206920623702</v>
      </c>
    </row>
    <row r="8" spans="1:13" ht="19">
      <c r="B8" s="105" t="s">
        <v>267</v>
      </c>
      <c r="C8" s="21" t="s">
        <v>272</v>
      </c>
      <c r="D8" s="106">
        <v>0.43703624606132502</v>
      </c>
      <c r="F8" s="21" t="s">
        <v>283</v>
      </c>
      <c r="G8" s="106">
        <v>0.40608936548232999</v>
      </c>
      <c r="I8" s="21" t="s">
        <v>269</v>
      </c>
      <c r="J8" s="106">
        <v>0.353421300649642</v>
      </c>
      <c r="L8" s="21" t="s">
        <v>298</v>
      </c>
      <c r="M8" s="106">
        <v>0.36254388093948298</v>
      </c>
    </row>
    <row r="9" spans="1:13" ht="19">
      <c r="B9" s="105" t="s">
        <v>267</v>
      </c>
      <c r="C9" s="21" t="s">
        <v>273</v>
      </c>
      <c r="D9" s="106">
        <v>0.43186086416244501</v>
      </c>
      <c r="F9" s="21" t="s">
        <v>284</v>
      </c>
      <c r="G9" s="106">
        <v>0.375350892543792</v>
      </c>
      <c r="I9" s="21" t="s">
        <v>270</v>
      </c>
      <c r="J9" s="106">
        <v>0.35255268216133101</v>
      </c>
      <c r="L9" s="21" t="s">
        <v>299</v>
      </c>
      <c r="M9" s="106">
        <v>0.35845163464546198</v>
      </c>
    </row>
    <row r="10" spans="1:13" ht="19">
      <c r="B10" s="105" t="s">
        <v>267</v>
      </c>
      <c r="C10" s="21" t="s">
        <v>274</v>
      </c>
      <c r="D10" s="106">
        <v>0.42962700128555298</v>
      </c>
      <c r="F10" s="21" t="s">
        <v>285</v>
      </c>
      <c r="G10" s="106">
        <v>0.34061709046363797</v>
      </c>
      <c r="I10" s="21" t="s">
        <v>291</v>
      </c>
      <c r="J10" s="106">
        <v>0.34600418806076</v>
      </c>
      <c r="L10" s="21" t="s">
        <v>300</v>
      </c>
      <c r="M10" s="106">
        <v>0.32227760553359902</v>
      </c>
    </row>
    <row r="11" spans="1:13" ht="19">
      <c r="B11" s="105" t="s">
        <v>267</v>
      </c>
      <c r="C11" s="21" t="s">
        <v>275</v>
      </c>
      <c r="D11" s="106">
        <v>0.42594581842422402</v>
      </c>
      <c r="F11" s="21" t="s">
        <v>286</v>
      </c>
      <c r="G11" s="106">
        <v>0.32264521718025202</v>
      </c>
      <c r="I11" s="21" t="s">
        <v>292</v>
      </c>
      <c r="J11" s="106">
        <v>0.33467316627502403</v>
      </c>
      <c r="L11" s="21" t="s">
        <v>301</v>
      </c>
      <c r="M11" s="106">
        <v>0.30878907442092801</v>
      </c>
    </row>
    <row r="12" spans="1:13" ht="19">
      <c r="B12" s="105" t="s">
        <v>267</v>
      </c>
      <c r="C12" s="21" t="s">
        <v>276</v>
      </c>
      <c r="D12" s="106">
        <v>0.39625650644302302</v>
      </c>
      <c r="F12" s="21" t="s">
        <v>287</v>
      </c>
      <c r="G12" s="106">
        <v>0.313027083873748</v>
      </c>
      <c r="I12" s="21" t="s">
        <v>293</v>
      </c>
      <c r="J12" s="106">
        <v>0.32201230525970398</v>
      </c>
      <c r="L12" s="21" t="s">
        <v>302</v>
      </c>
      <c r="M12" s="106">
        <v>0.30260986089706399</v>
      </c>
    </row>
    <row r="13" spans="1:13" ht="20" thickBot="1">
      <c r="B13" s="105" t="s">
        <v>267</v>
      </c>
      <c r="C13" s="108" t="s">
        <v>277</v>
      </c>
      <c r="D13" s="109">
        <v>0.39058697223663302</v>
      </c>
      <c r="F13" s="108" t="s">
        <v>288</v>
      </c>
      <c r="G13" s="109">
        <v>0.281828582286834</v>
      </c>
      <c r="I13" s="108" t="s">
        <v>273</v>
      </c>
      <c r="J13" s="109">
        <v>0.30643635988235401</v>
      </c>
      <c r="L13" s="108" t="s">
        <v>303</v>
      </c>
      <c r="M13" s="109">
        <v>0.302469372749328</v>
      </c>
    </row>
  </sheetData>
  <mergeCells count="4">
    <mergeCell ref="C2:D2"/>
    <mergeCell ref="F2:G2"/>
    <mergeCell ref="I2:J2"/>
    <mergeCell ref="L2:M2"/>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260A7-E465-CF43-BE8A-301DFC384B4F}">
  <dimension ref="A1:G47"/>
  <sheetViews>
    <sheetView showGridLines="0" workbookViewId="0">
      <selection activeCell="J25" sqref="J25"/>
    </sheetView>
  </sheetViews>
  <sheetFormatPr baseColWidth="10" defaultRowHeight="16"/>
  <cols>
    <col min="3" max="7" width="21.6640625" customWidth="1"/>
  </cols>
  <sheetData>
    <row r="1" spans="1:7">
      <c r="A1" t="s">
        <v>384</v>
      </c>
    </row>
    <row r="2" spans="1:7" ht="17" thickBot="1">
      <c r="C2" s="107"/>
      <c r="D2" s="107"/>
    </row>
    <row r="3" spans="1:7" s="32" customFormat="1" ht="31" customHeight="1">
      <c r="C3" s="145" t="s">
        <v>378</v>
      </c>
      <c r="D3" s="145"/>
      <c r="E3" s="121"/>
      <c r="F3" s="145" t="s">
        <v>379</v>
      </c>
      <c r="G3" s="145"/>
    </row>
    <row r="4" spans="1:7" ht="19">
      <c r="C4" s="124" t="s">
        <v>382</v>
      </c>
      <c r="D4" s="124" t="s">
        <v>308</v>
      </c>
      <c r="E4" s="116"/>
      <c r="F4" s="124" t="s">
        <v>382</v>
      </c>
      <c r="G4" s="124" t="s">
        <v>308</v>
      </c>
    </row>
    <row r="5" spans="1:7" ht="19">
      <c r="C5" s="117" t="s">
        <v>332</v>
      </c>
      <c r="D5" s="118">
        <v>0.439031</v>
      </c>
      <c r="E5" s="115"/>
      <c r="F5" s="117" t="s">
        <v>355</v>
      </c>
      <c r="G5" s="118">
        <v>0.55187200000000003</v>
      </c>
    </row>
    <row r="6" spans="1:7" ht="19">
      <c r="C6" s="117" t="s">
        <v>265</v>
      </c>
      <c r="D6" s="118">
        <v>0.42704399999999998</v>
      </c>
      <c r="E6" s="115"/>
      <c r="F6" s="117" t="s">
        <v>112</v>
      </c>
      <c r="G6" s="118">
        <v>0.50173000000000001</v>
      </c>
    </row>
    <row r="7" spans="1:7" ht="19">
      <c r="C7" s="117" t="s">
        <v>157</v>
      </c>
      <c r="D7" s="118">
        <v>0.42310500000000001</v>
      </c>
      <c r="E7" s="115"/>
      <c r="F7" s="117" t="s">
        <v>356</v>
      </c>
      <c r="G7" s="118">
        <v>0.479101</v>
      </c>
    </row>
    <row r="8" spans="1:7" ht="19">
      <c r="C8" s="117" t="s">
        <v>156</v>
      </c>
      <c r="D8" s="118">
        <v>0.41888199999999998</v>
      </c>
      <c r="E8" s="115"/>
      <c r="F8" s="117" t="s">
        <v>357</v>
      </c>
      <c r="G8" s="118">
        <v>0.46877799999999997</v>
      </c>
    </row>
    <row r="9" spans="1:7" ht="19">
      <c r="C9" s="117" t="s">
        <v>151</v>
      </c>
      <c r="D9" s="118">
        <v>0.41372599999999998</v>
      </c>
      <c r="E9" s="115"/>
      <c r="F9" s="117" t="s">
        <v>110</v>
      </c>
      <c r="G9" s="118">
        <v>0.46520099999999998</v>
      </c>
    </row>
    <row r="10" spans="1:7" ht="19">
      <c r="C10" s="117" t="s">
        <v>145</v>
      </c>
      <c r="D10" s="118">
        <v>0.40685100000000002</v>
      </c>
      <c r="E10" s="115"/>
      <c r="F10" s="117" t="s">
        <v>111</v>
      </c>
      <c r="G10" s="118">
        <v>0.46097300000000002</v>
      </c>
    </row>
    <row r="11" spans="1:7" ht="19">
      <c r="C11" s="117" t="s">
        <v>333</v>
      </c>
      <c r="D11" s="118">
        <v>0.405281</v>
      </c>
      <c r="E11" s="115"/>
      <c r="F11" s="117" t="s">
        <v>358</v>
      </c>
      <c r="G11" s="118">
        <v>0.45951700000000001</v>
      </c>
    </row>
    <row r="12" spans="1:7" ht="19">
      <c r="C12" s="117" t="s">
        <v>334</v>
      </c>
      <c r="D12" s="118">
        <v>0.40256799999999998</v>
      </c>
      <c r="E12" s="115"/>
      <c r="F12" s="117" t="s">
        <v>359</v>
      </c>
      <c r="G12" s="118">
        <v>0.45822299999999999</v>
      </c>
    </row>
    <row r="13" spans="1:7" ht="19">
      <c r="C13" s="117" t="s">
        <v>171</v>
      </c>
      <c r="D13" s="118">
        <v>0.39803699999999997</v>
      </c>
      <c r="E13" s="115"/>
      <c r="F13" s="117" t="s">
        <v>360</v>
      </c>
      <c r="G13" s="118">
        <v>0.45276699999999998</v>
      </c>
    </row>
    <row r="14" spans="1:7" ht="19">
      <c r="C14" s="117" t="s">
        <v>144</v>
      </c>
      <c r="D14" s="118">
        <v>0.39404099999999997</v>
      </c>
      <c r="E14" s="115"/>
      <c r="F14" s="117" t="s">
        <v>361</v>
      </c>
      <c r="G14" s="118">
        <v>0.45053300000000002</v>
      </c>
    </row>
    <row r="15" spans="1:7" ht="19">
      <c r="C15" s="117" t="s">
        <v>335</v>
      </c>
      <c r="D15" s="118">
        <v>0.39307199999999998</v>
      </c>
      <c r="E15" s="115"/>
      <c r="F15" s="117" t="s">
        <v>362</v>
      </c>
      <c r="G15" s="118">
        <v>0.44956499999999999</v>
      </c>
    </row>
    <row r="16" spans="1:7" ht="19">
      <c r="C16" s="117" t="s">
        <v>184</v>
      </c>
      <c r="D16" s="118">
        <v>0.392291</v>
      </c>
      <c r="E16" s="115"/>
      <c r="F16" s="117" t="s">
        <v>363</v>
      </c>
      <c r="G16" s="118">
        <v>0.44774599999999998</v>
      </c>
    </row>
    <row r="17" spans="3:7" ht="19">
      <c r="C17" s="117" t="s">
        <v>336</v>
      </c>
      <c r="D17" s="118">
        <v>0.390046</v>
      </c>
      <c r="E17" s="115"/>
      <c r="F17" s="117" t="s">
        <v>108</v>
      </c>
      <c r="G17" s="118">
        <v>0.44742100000000001</v>
      </c>
    </row>
    <row r="18" spans="3:7" ht="19">
      <c r="C18" s="117" t="s">
        <v>247</v>
      </c>
      <c r="D18" s="118">
        <v>0.38811000000000001</v>
      </c>
      <c r="E18" s="115"/>
      <c r="F18" s="117" t="s">
        <v>364</v>
      </c>
      <c r="G18" s="118">
        <v>0.44613700000000001</v>
      </c>
    </row>
    <row r="19" spans="3:7" ht="19">
      <c r="C19" s="117" t="s">
        <v>337</v>
      </c>
      <c r="D19" s="118">
        <v>0.38634099999999999</v>
      </c>
      <c r="E19" s="115"/>
      <c r="F19" s="117" t="s">
        <v>365</v>
      </c>
      <c r="G19" s="118">
        <v>0.44418400000000002</v>
      </c>
    </row>
    <row r="20" spans="3:7" ht="19">
      <c r="C20" s="117" t="s">
        <v>338</v>
      </c>
      <c r="D20" s="118">
        <v>0.38407999999999998</v>
      </c>
      <c r="E20" s="115"/>
      <c r="F20" s="117" t="s">
        <v>366</v>
      </c>
      <c r="G20" s="118">
        <v>0.44410899999999998</v>
      </c>
    </row>
    <row r="21" spans="3:7" ht="19">
      <c r="C21" s="117" t="s">
        <v>339</v>
      </c>
      <c r="D21" s="118">
        <v>0.38392199999999999</v>
      </c>
      <c r="E21" s="115"/>
      <c r="F21" s="117" t="s">
        <v>115</v>
      </c>
      <c r="G21" s="118">
        <v>0.44063400000000003</v>
      </c>
    </row>
    <row r="22" spans="3:7" ht="19">
      <c r="C22" s="117" t="s">
        <v>146</v>
      </c>
      <c r="D22" s="118">
        <v>0.38374999999999998</v>
      </c>
      <c r="E22" s="115"/>
      <c r="F22" s="117" t="s">
        <v>367</v>
      </c>
      <c r="G22" s="118">
        <v>0.43323099999999998</v>
      </c>
    </row>
    <row r="23" spans="3:7" ht="19">
      <c r="C23" s="117" t="s">
        <v>340</v>
      </c>
      <c r="D23" s="118">
        <v>0.38195600000000002</v>
      </c>
      <c r="E23" s="115"/>
      <c r="F23" s="117" t="s">
        <v>368</v>
      </c>
      <c r="G23" s="118">
        <v>0.43024099999999998</v>
      </c>
    </row>
    <row r="24" spans="3:7" ht="20" thickBot="1">
      <c r="C24" s="119" t="s">
        <v>341</v>
      </c>
      <c r="D24" s="120">
        <v>0.381413</v>
      </c>
      <c r="E24" s="115"/>
      <c r="F24" s="119" t="s">
        <v>369</v>
      </c>
      <c r="G24" s="120">
        <v>0.42639199999999999</v>
      </c>
    </row>
    <row r="25" spans="3:7" ht="75" customHeight="1" thickBot="1">
      <c r="C25" s="115"/>
      <c r="D25" s="115"/>
      <c r="E25" s="115"/>
      <c r="F25" s="115"/>
      <c r="G25" s="115"/>
    </row>
    <row r="26" spans="3:7" s="22" customFormat="1" ht="29" customHeight="1">
      <c r="C26" s="145" t="s">
        <v>380</v>
      </c>
      <c r="D26" s="145"/>
      <c r="E26" s="122"/>
      <c r="F26" s="145" t="s">
        <v>381</v>
      </c>
      <c r="G26" s="145"/>
    </row>
    <row r="27" spans="3:7" ht="19">
      <c r="C27" s="124" t="s">
        <v>382</v>
      </c>
      <c r="D27" s="124" t="s">
        <v>383</v>
      </c>
      <c r="E27" s="116"/>
      <c r="F27" s="124" t="s">
        <v>382</v>
      </c>
      <c r="G27" s="124" t="s">
        <v>383</v>
      </c>
    </row>
    <row r="28" spans="3:7" ht="19">
      <c r="C28" s="117" t="s">
        <v>154</v>
      </c>
      <c r="D28" s="118">
        <v>5.5239000000000003E-2</v>
      </c>
      <c r="E28" s="115"/>
      <c r="F28" s="117" t="s">
        <v>370</v>
      </c>
      <c r="G28" s="118">
        <v>0.23801</v>
      </c>
    </row>
    <row r="29" spans="3:7" ht="19">
      <c r="C29" s="117" t="s">
        <v>158</v>
      </c>
      <c r="D29" s="118">
        <v>4.7366999999999999E-2</v>
      </c>
      <c r="E29" s="115"/>
      <c r="F29" s="117" t="s">
        <v>258</v>
      </c>
      <c r="G29" s="118">
        <v>0.153201</v>
      </c>
    </row>
    <row r="30" spans="3:7" ht="19">
      <c r="C30" s="117" t="s">
        <v>342</v>
      </c>
      <c r="D30" s="118">
        <v>4.4148E-2</v>
      </c>
      <c r="E30" s="115"/>
      <c r="F30" s="117" t="s">
        <v>116</v>
      </c>
      <c r="G30" s="118">
        <v>0.15155199999999999</v>
      </c>
    </row>
    <row r="31" spans="3:7" ht="19">
      <c r="C31" s="117" t="s">
        <v>343</v>
      </c>
      <c r="D31" s="118">
        <v>4.3137000000000002E-2</v>
      </c>
      <c r="E31" s="115"/>
      <c r="F31" s="117" t="s">
        <v>131</v>
      </c>
      <c r="G31" s="118">
        <v>0.14283599999999999</v>
      </c>
    </row>
    <row r="32" spans="3:7" ht="19">
      <c r="C32" s="117" t="s">
        <v>344</v>
      </c>
      <c r="D32" s="118">
        <v>3.9855000000000002E-2</v>
      </c>
      <c r="E32" s="24"/>
      <c r="F32" s="117" t="s">
        <v>118</v>
      </c>
      <c r="G32" s="118">
        <v>0.13819300000000001</v>
      </c>
    </row>
    <row r="33" spans="3:7" ht="19">
      <c r="C33" s="117" t="s">
        <v>345</v>
      </c>
      <c r="D33" s="118">
        <v>3.9569E-2</v>
      </c>
      <c r="E33" s="24"/>
      <c r="F33" s="117" t="s">
        <v>371</v>
      </c>
      <c r="G33" s="118">
        <v>0.13695599999999999</v>
      </c>
    </row>
    <row r="34" spans="3:7" ht="19">
      <c r="C34" s="117" t="s">
        <v>346</v>
      </c>
      <c r="D34" s="118">
        <v>3.5545E-2</v>
      </c>
      <c r="E34" s="24"/>
      <c r="F34" s="117" t="s">
        <v>207</v>
      </c>
      <c r="G34" s="118">
        <v>0.12689400000000001</v>
      </c>
    </row>
    <row r="35" spans="3:7" ht="19">
      <c r="C35" s="117" t="s">
        <v>347</v>
      </c>
      <c r="D35" s="118">
        <v>3.4943000000000002E-2</v>
      </c>
      <c r="E35" s="24"/>
      <c r="F35" s="117" t="s">
        <v>123</v>
      </c>
      <c r="G35" s="118">
        <v>0.126779</v>
      </c>
    </row>
    <row r="36" spans="3:7" ht="19">
      <c r="C36" s="117" t="s">
        <v>348</v>
      </c>
      <c r="D36" s="118">
        <v>3.4096000000000001E-2</v>
      </c>
      <c r="E36" s="24"/>
      <c r="F36" s="117" t="s">
        <v>372</v>
      </c>
      <c r="G36" s="118">
        <v>0.126247</v>
      </c>
    </row>
    <row r="37" spans="3:7" ht="19">
      <c r="C37" s="117" t="s">
        <v>168</v>
      </c>
      <c r="D37" s="118">
        <v>3.4082000000000001E-2</v>
      </c>
      <c r="E37" s="24"/>
      <c r="F37" s="117" t="s">
        <v>134</v>
      </c>
      <c r="G37" s="118">
        <v>0.122945</v>
      </c>
    </row>
    <row r="38" spans="3:7" ht="19">
      <c r="C38" s="117" t="s">
        <v>185</v>
      </c>
      <c r="D38" s="118">
        <v>3.2894E-2</v>
      </c>
      <c r="E38" s="24"/>
      <c r="F38" s="117" t="s">
        <v>373</v>
      </c>
      <c r="G38" s="118">
        <v>0.11682099999999999</v>
      </c>
    </row>
    <row r="39" spans="3:7" ht="19">
      <c r="C39" s="117" t="s">
        <v>349</v>
      </c>
      <c r="D39" s="118">
        <v>3.1655999999999997E-2</v>
      </c>
      <c r="E39" s="24"/>
      <c r="F39" s="117" t="s">
        <v>374</v>
      </c>
      <c r="G39" s="118">
        <v>0.113618</v>
      </c>
    </row>
    <row r="40" spans="3:7" ht="19">
      <c r="C40" s="117" t="s">
        <v>222</v>
      </c>
      <c r="D40" s="118">
        <v>3.1063E-2</v>
      </c>
      <c r="E40" s="24"/>
      <c r="F40" s="117" t="s">
        <v>124</v>
      </c>
      <c r="G40" s="118">
        <v>0.11189300000000001</v>
      </c>
    </row>
    <row r="41" spans="3:7" ht="19">
      <c r="C41" s="117" t="s">
        <v>350</v>
      </c>
      <c r="D41" s="118">
        <v>3.0303E-2</v>
      </c>
      <c r="E41" s="24"/>
      <c r="F41" s="117" t="s">
        <v>375</v>
      </c>
      <c r="G41" s="118">
        <v>0.111413</v>
      </c>
    </row>
    <row r="42" spans="3:7" ht="19">
      <c r="C42" s="117" t="s">
        <v>228</v>
      </c>
      <c r="D42" s="118">
        <v>2.7484999999999999E-2</v>
      </c>
      <c r="E42" s="24"/>
      <c r="F42" s="117" t="s">
        <v>117</v>
      </c>
      <c r="G42" s="118">
        <v>0.110287</v>
      </c>
    </row>
    <row r="43" spans="3:7" ht="19">
      <c r="C43" s="117" t="s">
        <v>351</v>
      </c>
      <c r="D43" s="118">
        <v>2.7158999999999999E-2</v>
      </c>
      <c r="E43" s="24"/>
      <c r="F43" s="117" t="s">
        <v>236</v>
      </c>
      <c r="G43" s="118">
        <v>0.109112</v>
      </c>
    </row>
    <row r="44" spans="3:7" ht="19">
      <c r="C44" s="117" t="s">
        <v>352</v>
      </c>
      <c r="D44" s="118">
        <v>2.6381999999999999E-2</v>
      </c>
      <c r="E44" s="24"/>
      <c r="F44" s="117" t="s">
        <v>126</v>
      </c>
      <c r="G44" s="118">
        <v>0.10910400000000001</v>
      </c>
    </row>
    <row r="45" spans="3:7" ht="19">
      <c r="C45" s="117" t="s">
        <v>353</v>
      </c>
      <c r="D45" s="118">
        <v>2.6044000000000001E-2</v>
      </c>
      <c r="E45" s="24"/>
      <c r="F45" s="117" t="s">
        <v>376</v>
      </c>
      <c r="G45" s="118">
        <v>0.10906299999999999</v>
      </c>
    </row>
    <row r="46" spans="3:7" ht="19">
      <c r="C46" s="117" t="s">
        <v>161</v>
      </c>
      <c r="D46" s="118">
        <v>2.4604000000000001E-2</v>
      </c>
      <c r="E46" s="24"/>
      <c r="F46" s="117" t="s">
        <v>238</v>
      </c>
      <c r="G46" s="118">
        <v>0.10735599999999999</v>
      </c>
    </row>
    <row r="47" spans="3:7" ht="20" thickBot="1">
      <c r="C47" s="119" t="s">
        <v>165</v>
      </c>
      <c r="D47" s="120">
        <v>2.4171000000000002E-2</v>
      </c>
      <c r="E47" s="24"/>
      <c r="F47" s="119" t="s">
        <v>377</v>
      </c>
      <c r="G47" s="120">
        <v>0.105707</v>
      </c>
    </row>
  </sheetData>
  <mergeCells count="4">
    <mergeCell ref="C3:D3"/>
    <mergeCell ref="C26:D26"/>
    <mergeCell ref="F3:G3"/>
    <mergeCell ref="F26:G26"/>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F45ED-02B5-0643-8DB7-594BFA6A74BC}">
  <dimension ref="A1:G49"/>
  <sheetViews>
    <sheetView showGridLines="0" topLeftCell="A18" workbookViewId="0">
      <selection activeCell="C33" sqref="C33"/>
    </sheetView>
  </sheetViews>
  <sheetFormatPr baseColWidth="10" defaultRowHeight="16"/>
  <cols>
    <col min="3" max="7" width="22.5" customWidth="1"/>
  </cols>
  <sheetData>
    <row r="1" spans="1:7" ht="21">
      <c r="A1" s="123" t="s">
        <v>385</v>
      </c>
    </row>
    <row r="3" spans="1:7" ht="20" thickBot="1">
      <c r="D3" s="90"/>
    </row>
    <row r="4" spans="1:7" ht="29" customHeight="1">
      <c r="C4" s="145" t="s">
        <v>432</v>
      </c>
      <c r="D4" s="145"/>
      <c r="F4" s="145" t="s">
        <v>433</v>
      </c>
      <c r="G4" s="145"/>
    </row>
    <row r="5" spans="1:7" ht="19">
      <c r="C5" s="124" t="s">
        <v>382</v>
      </c>
      <c r="D5" s="124" t="s">
        <v>308</v>
      </c>
      <c r="F5" s="124" t="s">
        <v>331</v>
      </c>
      <c r="G5" s="124" t="s">
        <v>354</v>
      </c>
    </row>
    <row r="6" spans="1:7" ht="19">
      <c r="C6" s="117" t="s">
        <v>386</v>
      </c>
      <c r="D6" s="118">
        <v>0.236265</v>
      </c>
      <c r="F6" s="117" t="s">
        <v>406</v>
      </c>
      <c r="G6" s="118">
        <v>0.463418</v>
      </c>
    </row>
    <row r="7" spans="1:7" ht="19">
      <c r="C7" s="117" t="s">
        <v>387</v>
      </c>
      <c r="D7" s="118">
        <v>0.235902</v>
      </c>
      <c r="F7" s="117" t="s">
        <v>131</v>
      </c>
      <c r="G7" s="118">
        <v>0.431118</v>
      </c>
    </row>
    <row r="8" spans="1:7" ht="19">
      <c r="C8" s="117" t="s">
        <v>388</v>
      </c>
      <c r="D8" s="118">
        <v>0.23214099999999999</v>
      </c>
      <c r="F8" s="117" t="s">
        <v>407</v>
      </c>
      <c r="G8" s="118">
        <v>0.410889</v>
      </c>
    </row>
    <row r="9" spans="1:7" ht="19">
      <c r="C9" s="117" t="s">
        <v>389</v>
      </c>
      <c r="D9" s="118">
        <v>0.23202100000000001</v>
      </c>
      <c r="F9" s="117" t="s">
        <v>408</v>
      </c>
      <c r="G9" s="118">
        <v>0.407335</v>
      </c>
    </row>
    <row r="10" spans="1:7" ht="19">
      <c r="C10" s="117" t="s">
        <v>390</v>
      </c>
      <c r="D10" s="118">
        <v>0.230042</v>
      </c>
      <c r="F10" s="117" t="s">
        <v>409</v>
      </c>
      <c r="G10" s="118">
        <v>0.40405200000000002</v>
      </c>
    </row>
    <row r="11" spans="1:7" ht="19">
      <c r="C11" s="117" t="s">
        <v>391</v>
      </c>
      <c r="D11" s="118">
        <v>0.22734299999999999</v>
      </c>
      <c r="F11" s="117" t="s">
        <v>410</v>
      </c>
      <c r="G11" s="118">
        <v>0.39884799999999998</v>
      </c>
    </row>
    <row r="12" spans="1:7" ht="19">
      <c r="C12" s="117" t="s">
        <v>392</v>
      </c>
      <c r="D12" s="118">
        <v>0.22079099999999999</v>
      </c>
      <c r="F12" s="117" t="s">
        <v>242</v>
      </c>
      <c r="G12" s="118">
        <v>0.39564100000000002</v>
      </c>
    </row>
    <row r="13" spans="1:7" ht="19">
      <c r="C13" s="117" t="s">
        <v>393</v>
      </c>
      <c r="D13" s="118">
        <v>0.21969</v>
      </c>
      <c r="F13" s="117" t="s">
        <v>411</v>
      </c>
      <c r="G13" s="118">
        <v>0.39458300000000002</v>
      </c>
    </row>
    <row r="14" spans="1:7" ht="19">
      <c r="C14" s="117" t="s">
        <v>394</v>
      </c>
      <c r="D14" s="118">
        <v>0.21954599999999999</v>
      </c>
      <c r="F14" s="117" t="s">
        <v>203</v>
      </c>
      <c r="G14" s="118">
        <v>0.39211699999999999</v>
      </c>
    </row>
    <row r="15" spans="1:7" ht="19">
      <c r="C15" s="117" t="s">
        <v>395</v>
      </c>
      <c r="D15" s="118">
        <v>0.21940899999999999</v>
      </c>
      <c r="F15" s="117" t="s">
        <v>412</v>
      </c>
      <c r="G15" s="118">
        <v>0.39065</v>
      </c>
    </row>
    <row r="16" spans="1:7" ht="19">
      <c r="C16" s="117" t="s">
        <v>396</v>
      </c>
      <c r="D16" s="118">
        <v>0.21620300000000001</v>
      </c>
      <c r="F16" s="117" t="s">
        <v>413</v>
      </c>
      <c r="G16" s="118">
        <v>0.382689</v>
      </c>
    </row>
    <row r="17" spans="3:7" ht="19">
      <c r="C17" s="117" t="s">
        <v>397</v>
      </c>
      <c r="D17" s="118">
        <v>0.21324899999999999</v>
      </c>
      <c r="F17" s="117" t="s">
        <v>251</v>
      </c>
      <c r="G17" s="118">
        <v>0.37811</v>
      </c>
    </row>
    <row r="18" spans="3:7" ht="19">
      <c r="C18" s="117" t="s">
        <v>398</v>
      </c>
      <c r="D18" s="118">
        <v>0.21162300000000001</v>
      </c>
      <c r="F18" s="117" t="s">
        <v>124</v>
      </c>
      <c r="G18" s="118">
        <v>0.37741400000000003</v>
      </c>
    </row>
    <row r="19" spans="3:7" ht="19">
      <c r="C19" s="117" t="s">
        <v>399</v>
      </c>
      <c r="D19" s="118">
        <v>0.20533100000000001</v>
      </c>
      <c r="F19" s="117" t="s">
        <v>414</v>
      </c>
      <c r="G19" s="118">
        <v>0.37481700000000001</v>
      </c>
    </row>
    <row r="20" spans="3:7" ht="19">
      <c r="C20" s="117" t="s">
        <v>400</v>
      </c>
      <c r="D20" s="118">
        <v>0.20448</v>
      </c>
      <c r="F20" s="117" t="s">
        <v>133</v>
      </c>
      <c r="G20" s="118">
        <v>0.37025400000000003</v>
      </c>
    </row>
    <row r="21" spans="3:7" ht="19">
      <c r="C21" s="117" t="s">
        <v>401</v>
      </c>
      <c r="D21" s="118">
        <v>0.20435400000000001</v>
      </c>
      <c r="F21" s="117" t="s">
        <v>211</v>
      </c>
      <c r="G21" s="118">
        <v>0.36736099999999999</v>
      </c>
    </row>
    <row r="22" spans="3:7" ht="19">
      <c r="C22" s="117" t="s">
        <v>402</v>
      </c>
      <c r="D22" s="118">
        <v>0.201295</v>
      </c>
      <c r="F22" s="117" t="s">
        <v>415</v>
      </c>
      <c r="G22" s="118">
        <v>0.36069899999999999</v>
      </c>
    </row>
    <row r="23" spans="3:7" ht="19">
      <c r="C23" s="117" t="s">
        <v>403</v>
      </c>
      <c r="D23" s="118">
        <v>0.199687</v>
      </c>
      <c r="F23" s="117" t="s">
        <v>220</v>
      </c>
      <c r="G23" s="118">
        <v>0.35449799999999998</v>
      </c>
    </row>
    <row r="24" spans="3:7" ht="19">
      <c r="C24" s="117" t="s">
        <v>404</v>
      </c>
      <c r="D24" s="118">
        <v>0.196461</v>
      </c>
      <c r="F24" s="117" t="s">
        <v>416</v>
      </c>
      <c r="G24" s="118">
        <v>0.35441899999999998</v>
      </c>
    </row>
    <row r="25" spans="3:7" ht="20" thickBot="1">
      <c r="C25" s="119" t="s">
        <v>405</v>
      </c>
      <c r="D25" s="120">
        <v>0.195879</v>
      </c>
      <c r="F25" s="119" t="s">
        <v>210</v>
      </c>
      <c r="G25" s="120">
        <v>0.345777</v>
      </c>
    </row>
    <row r="27" spans="3:7" ht="17" thickBot="1"/>
    <row r="28" spans="3:7" ht="29" customHeight="1">
      <c r="F28" s="145" t="s">
        <v>434</v>
      </c>
      <c r="G28" s="145"/>
    </row>
    <row r="29" spans="3:7" ht="19">
      <c r="F29" s="124" t="s">
        <v>382</v>
      </c>
      <c r="G29" s="124" t="s">
        <v>383</v>
      </c>
    </row>
    <row r="30" spans="3:7" ht="19">
      <c r="F30" s="117" t="s">
        <v>417</v>
      </c>
      <c r="G30" s="118">
        <v>0.40391100000000002</v>
      </c>
    </row>
    <row r="31" spans="3:7" ht="19">
      <c r="F31" s="117" t="s">
        <v>418</v>
      </c>
      <c r="G31" s="118">
        <v>0.34444900000000001</v>
      </c>
    </row>
    <row r="32" spans="3:7" ht="19">
      <c r="F32" s="117" t="s">
        <v>236</v>
      </c>
      <c r="G32" s="118">
        <v>0.318359</v>
      </c>
    </row>
    <row r="33" spans="6:7" ht="19">
      <c r="F33" s="117" t="s">
        <v>419</v>
      </c>
      <c r="G33" s="118">
        <v>0.27348</v>
      </c>
    </row>
    <row r="34" spans="6:7" ht="19">
      <c r="F34" s="117" t="s">
        <v>240</v>
      </c>
      <c r="G34" s="118">
        <v>0.26979199999999998</v>
      </c>
    </row>
    <row r="35" spans="6:7" ht="19">
      <c r="F35" s="117" t="s">
        <v>420</v>
      </c>
      <c r="G35" s="118">
        <v>0.263318</v>
      </c>
    </row>
    <row r="36" spans="6:7" ht="19">
      <c r="F36" s="117" t="s">
        <v>118</v>
      </c>
      <c r="G36" s="118">
        <v>0.260546</v>
      </c>
    </row>
    <row r="37" spans="6:7" ht="19">
      <c r="F37" s="117" t="s">
        <v>421</v>
      </c>
      <c r="G37" s="118">
        <v>0.25195600000000001</v>
      </c>
    </row>
    <row r="38" spans="6:7" ht="19">
      <c r="F38" s="117" t="s">
        <v>422</v>
      </c>
      <c r="G38" s="118">
        <v>0.24482599999999999</v>
      </c>
    </row>
    <row r="39" spans="6:7" ht="19">
      <c r="F39" s="117" t="s">
        <v>373</v>
      </c>
      <c r="G39" s="118">
        <v>0.239291</v>
      </c>
    </row>
    <row r="40" spans="6:7" ht="19">
      <c r="F40" s="117" t="s">
        <v>423</v>
      </c>
      <c r="G40" s="118">
        <v>0.226018</v>
      </c>
    </row>
    <row r="41" spans="6:7" ht="19">
      <c r="F41" s="117" t="s">
        <v>424</v>
      </c>
      <c r="G41" s="118">
        <v>0.22593199999999999</v>
      </c>
    </row>
    <row r="42" spans="6:7" ht="19">
      <c r="F42" s="117" t="s">
        <v>425</v>
      </c>
      <c r="G42" s="118">
        <v>0.21498500000000001</v>
      </c>
    </row>
    <row r="43" spans="6:7" ht="19">
      <c r="F43" s="117" t="s">
        <v>426</v>
      </c>
      <c r="G43" s="118">
        <v>0.209949</v>
      </c>
    </row>
    <row r="44" spans="6:7" ht="19">
      <c r="F44" s="117" t="s">
        <v>427</v>
      </c>
      <c r="G44" s="118">
        <v>0.204292</v>
      </c>
    </row>
    <row r="45" spans="6:7" ht="19">
      <c r="F45" s="117" t="s">
        <v>428</v>
      </c>
      <c r="G45" s="118">
        <v>0.20380000000000001</v>
      </c>
    </row>
    <row r="46" spans="6:7" ht="19">
      <c r="F46" s="117" t="s">
        <v>429</v>
      </c>
      <c r="G46" s="118">
        <v>0.203458</v>
      </c>
    </row>
    <row r="47" spans="6:7" ht="19">
      <c r="F47" s="117" t="s">
        <v>430</v>
      </c>
      <c r="G47" s="118">
        <v>0.20308399999999999</v>
      </c>
    </row>
    <row r="48" spans="6:7" ht="19">
      <c r="F48" s="117" t="s">
        <v>123</v>
      </c>
      <c r="G48" s="118">
        <v>0.188864</v>
      </c>
    </row>
    <row r="49" spans="6:7" ht="20" thickBot="1">
      <c r="F49" s="119" t="s">
        <v>431</v>
      </c>
      <c r="G49" s="120">
        <v>0.18771399999999999</v>
      </c>
    </row>
  </sheetData>
  <mergeCells count="3">
    <mergeCell ref="C4:D4"/>
    <mergeCell ref="F4:G4"/>
    <mergeCell ref="F28:G28"/>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D494C-3681-2848-9339-69E9FAE4902A}">
  <dimension ref="B2:L50"/>
  <sheetViews>
    <sheetView showGridLines="0" workbookViewId="0">
      <selection activeCell="D31" sqref="D31"/>
    </sheetView>
  </sheetViews>
  <sheetFormatPr baseColWidth="10" defaultRowHeight="16"/>
  <cols>
    <col min="2" max="12" width="19.1640625" customWidth="1"/>
  </cols>
  <sheetData>
    <row r="2" spans="2:12" ht="21">
      <c r="B2" s="125" t="s">
        <v>435</v>
      </c>
      <c r="C2" s="90"/>
    </row>
    <row r="3" spans="2:12" ht="21">
      <c r="B3" s="125" t="s">
        <v>436</v>
      </c>
      <c r="C3" s="90"/>
      <c r="H3" s="125" t="s">
        <v>93</v>
      </c>
    </row>
    <row r="4" spans="2:12" ht="22" thickBot="1">
      <c r="B4" s="125"/>
      <c r="C4" s="90"/>
      <c r="K4" s="125"/>
    </row>
    <row r="5" spans="2:12" ht="31" customHeight="1">
      <c r="B5" s="145" t="s">
        <v>378</v>
      </c>
      <c r="C5" s="145"/>
      <c r="D5" s="121"/>
      <c r="E5" s="145" t="s">
        <v>379</v>
      </c>
      <c r="F5" s="145"/>
      <c r="H5" s="145" t="s">
        <v>378</v>
      </c>
      <c r="I5" s="145"/>
      <c r="J5" s="121"/>
      <c r="K5" s="145" t="s">
        <v>379</v>
      </c>
      <c r="L5" s="145"/>
    </row>
    <row r="6" spans="2:12" ht="19">
      <c r="B6" s="124" t="s">
        <v>382</v>
      </c>
      <c r="C6" s="124" t="s">
        <v>308</v>
      </c>
      <c r="D6" s="116"/>
      <c r="E6" s="124" t="s">
        <v>382</v>
      </c>
      <c r="F6" s="124" t="s">
        <v>308</v>
      </c>
      <c r="H6" s="124" t="s">
        <v>382</v>
      </c>
      <c r="I6" s="124" t="s">
        <v>308</v>
      </c>
      <c r="J6" s="116"/>
      <c r="K6" s="124" t="s">
        <v>382</v>
      </c>
      <c r="L6" s="124" t="s">
        <v>308</v>
      </c>
    </row>
    <row r="7" spans="2:12" ht="19">
      <c r="B7" s="117" t="s">
        <v>151</v>
      </c>
      <c r="C7" s="118">
        <v>0.44339499999999998</v>
      </c>
      <c r="E7" s="117" t="s">
        <v>110</v>
      </c>
      <c r="F7" s="118">
        <v>0.46607500000000002</v>
      </c>
      <c r="H7" s="117" t="s">
        <v>184</v>
      </c>
      <c r="I7" s="118">
        <v>0.31315399999999999</v>
      </c>
      <c r="K7" s="117" t="s">
        <v>111</v>
      </c>
      <c r="L7" s="118">
        <v>0.30494399999999999</v>
      </c>
    </row>
    <row r="8" spans="2:12" ht="19">
      <c r="B8" s="117" t="s">
        <v>332</v>
      </c>
      <c r="C8" s="118">
        <v>0.44234899999999999</v>
      </c>
      <c r="E8" s="117" t="s">
        <v>111</v>
      </c>
      <c r="F8" s="118">
        <v>0.44515199999999999</v>
      </c>
      <c r="H8" s="117" t="s">
        <v>145</v>
      </c>
      <c r="I8" s="118">
        <v>0.301819</v>
      </c>
      <c r="K8" s="117" t="s">
        <v>468</v>
      </c>
      <c r="L8" s="118">
        <v>0.30063699999999999</v>
      </c>
    </row>
    <row r="9" spans="2:12" ht="19">
      <c r="B9" s="117" t="s">
        <v>265</v>
      </c>
      <c r="C9" s="118">
        <v>0.43050899999999998</v>
      </c>
      <c r="E9" s="117" t="s">
        <v>358</v>
      </c>
      <c r="F9" s="118">
        <v>0.443052</v>
      </c>
      <c r="H9" s="117" t="s">
        <v>332</v>
      </c>
      <c r="I9" s="118">
        <v>0.30126799999999998</v>
      </c>
      <c r="K9" s="117" t="s">
        <v>358</v>
      </c>
      <c r="L9" s="118">
        <v>0.29938500000000001</v>
      </c>
    </row>
    <row r="10" spans="2:12" ht="19">
      <c r="B10" s="117" t="s">
        <v>146</v>
      </c>
      <c r="C10" s="118">
        <v>0.40716799999999997</v>
      </c>
      <c r="E10" s="117" t="s">
        <v>359</v>
      </c>
      <c r="F10" s="118">
        <v>0.43870500000000001</v>
      </c>
      <c r="H10" s="117" t="s">
        <v>457</v>
      </c>
      <c r="I10" s="118">
        <v>0.29960100000000001</v>
      </c>
      <c r="K10" s="117" t="s">
        <v>469</v>
      </c>
      <c r="L10" s="118">
        <v>0.29758400000000002</v>
      </c>
    </row>
    <row r="11" spans="2:12" ht="19">
      <c r="B11" s="117" t="s">
        <v>336</v>
      </c>
      <c r="C11" s="118">
        <v>0.40610800000000002</v>
      </c>
      <c r="E11" s="117" t="s">
        <v>108</v>
      </c>
      <c r="F11" s="118">
        <v>0.43104900000000002</v>
      </c>
      <c r="H11" s="117" t="s">
        <v>458</v>
      </c>
      <c r="I11" s="118">
        <v>0.29443599999999998</v>
      </c>
      <c r="K11" s="117" t="s">
        <v>364</v>
      </c>
      <c r="L11" s="118">
        <v>0.29691000000000001</v>
      </c>
    </row>
    <row r="12" spans="2:12" ht="19">
      <c r="B12" s="117" t="s">
        <v>437</v>
      </c>
      <c r="C12" s="118">
        <v>0.40558699999999998</v>
      </c>
      <c r="E12" s="117" t="s">
        <v>361</v>
      </c>
      <c r="F12" s="118">
        <v>0.42338300000000001</v>
      </c>
      <c r="H12" s="117" t="s">
        <v>151</v>
      </c>
      <c r="I12" s="118">
        <v>0.29422599999999999</v>
      </c>
      <c r="K12" s="117" t="s">
        <v>117</v>
      </c>
      <c r="L12" s="118">
        <v>0.295989</v>
      </c>
    </row>
    <row r="13" spans="2:12" ht="19">
      <c r="B13" s="117" t="s">
        <v>145</v>
      </c>
      <c r="C13" s="118">
        <v>0.40452900000000003</v>
      </c>
      <c r="E13" s="117" t="s">
        <v>441</v>
      </c>
      <c r="F13" s="118">
        <v>0.42284100000000002</v>
      </c>
      <c r="H13" s="117" t="s">
        <v>156</v>
      </c>
      <c r="I13" s="118">
        <v>0.29161300000000001</v>
      </c>
      <c r="K13" s="117" t="s">
        <v>470</v>
      </c>
      <c r="L13" s="118">
        <v>0.29594900000000002</v>
      </c>
    </row>
    <row r="14" spans="2:12" ht="19">
      <c r="B14" s="117" t="s">
        <v>334</v>
      </c>
      <c r="C14" s="118">
        <v>0.40321499999999999</v>
      </c>
      <c r="E14" s="117" t="s">
        <v>129</v>
      </c>
      <c r="F14" s="118">
        <v>0.42159400000000002</v>
      </c>
      <c r="H14" s="117" t="s">
        <v>459</v>
      </c>
      <c r="I14" s="118">
        <v>0.29023199999999999</v>
      </c>
      <c r="K14" s="117" t="s">
        <v>108</v>
      </c>
      <c r="L14" s="118">
        <v>0.29259000000000002</v>
      </c>
    </row>
    <row r="15" spans="2:12" ht="19">
      <c r="B15" s="117" t="s">
        <v>152</v>
      </c>
      <c r="C15" s="118">
        <v>0.40317399999999998</v>
      </c>
      <c r="E15" s="117" t="s">
        <v>442</v>
      </c>
      <c r="F15" s="118">
        <v>0.421483</v>
      </c>
      <c r="H15" s="117" t="s">
        <v>437</v>
      </c>
      <c r="I15" s="118">
        <v>0.28921999999999998</v>
      </c>
      <c r="K15" s="117" t="s">
        <v>368</v>
      </c>
      <c r="L15" s="118">
        <v>0.29191400000000001</v>
      </c>
    </row>
    <row r="16" spans="2:12" ht="19">
      <c r="B16" s="117" t="s">
        <v>438</v>
      </c>
      <c r="C16" s="118">
        <v>0.40142800000000001</v>
      </c>
      <c r="E16" s="117" t="s">
        <v>443</v>
      </c>
      <c r="F16" s="118">
        <v>0.42094199999999998</v>
      </c>
      <c r="H16" s="117" t="s">
        <v>348</v>
      </c>
      <c r="I16" s="118">
        <v>0.28789599999999999</v>
      </c>
      <c r="K16" s="117" t="s">
        <v>471</v>
      </c>
      <c r="L16" s="118">
        <v>0.29173500000000002</v>
      </c>
    </row>
    <row r="17" spans="2:12" ht="19">
      <c r="B17" s="117" t="s">
        <v>148</v>
      </c>
      <c r="C17" s="118">
        <v>0.40130500000000002</v>
      </c>
      <c r="E17" s="117" t="s">
        <v>367</v>
      </c>
      <c r="F17" s="118">
        <v>0.42056300000000002</v>
      </c>
      <c r="H17" s="117" t="s">
        <v>460</v>
      </c>
      <c r="I17" s="118">
        <v>0.28747899999999998</v>
      </c>
      <c r="K17" s="117" t="s">
        <v>472</v>
      </c>
      <c r="L17" s="118">
        <v>0.29091</v>
      </c>
    </row>
    <row r="18" spans="2:12" ht="19">
      <c r="B18" s="117" t="s">
        <v>439</v>
      </c>
      <c r="C18" s="118">
        <v>0.40012900000000001</v>
      </c>
      <c r="E18" s="117" t="s">
        <v>444</v>
      </c>
      <c r="F18" s="118">
        <v>0.41735100000000003</v>
      </c>
      <c r="H18" s="117" t="s">
        <v>461</v>
      </c>
      <c r="I18" s="118">
        <v>0.28727900000000001</v>
      </c>
      <c r="K18" s="117" t="s">
        <v>473</v>
      </c>
      <c r="L18" s="118">
        <v>0.28876099999999999</v>
      </c>
    </row>
    <row r="19" spans="2:12" ht="19">
      <c r="B19" s="117" t="s">
        <v>156</v>
      </c>
      <c r="C19" s="118">
        <v>0.39984700000000001</v>
      </c>
      <c r="E19" s="117" t="s">
        <v>445</v>
      </c>
      <c r="F19" s="118">
        <v>0.413883</v>
      </c>
      <c r="H19" s="117" t="s">
        <v>462</v>
      </c>
      <c r="I19" s="118">
        <v>0.287219</v>
      </c>
      <c r="K19" s="117" t="s">
        <v>474</v>
      </c>
      <c r="L19" s="118">
        <v>0.28867399999999999</v>
      </c>
    </row>
    <row r="20" spans="2:12" ht="19">
      <c r="B20" s="117" t="s">
        <v>144</v>
      </c>
      <c r="C20" s="118">
        <v>0.39928999999999998</v>
      </c>
      <c r="E20" s="117" t="s">
        <v>119</v>
      </c>
      <c r="F20" s="118">
        <v>0.412962</v>
      </c>
      <c r="H20" s="117" t="s">
        <v>463</v>
      </c>
      <c r="I20" s="118">
        <v>0.28603899999999999</v>
      </c>
      <c r="K20" s="117" t="s">
        <v>390</v>
      </c>
      <c r="L20" s="118">
        <v>0.28848099999999999</v>
      </c>
    </row>
    <row r="21" spans="2:12" ht="19">
      <c r="B21" s="117" t="s">
        <v>339</v>
      </c>
      <c r="C21" s="118">
        <v>0.39756399999999997</v>
      </c>
      <c r="E21" s="117" t="s">
        <v>446</v>
      </c>
      <c r="F21" s="118">
        <v>0.41210400000000003</v>
      </c>
      <c r="H21" s="117" t="s">
        <v>339</v>
      </c>
      <c r="I21" s="118">
        <v>0.28518500000000002</v>
      </c>
      <c r="K21" s="117" t="s">
        <v>475</v>
      </c>
      <c r="L21" s="118">
        <v>0.28841899999999998</v>
      </c>
    </row>
    <row r="22" spans="2:12" ht="19">
      <c r="B22" s="117" t="s">
        <v>337</v>
      </c>
      <c r="C22" s="118">
        <v>0.39736300000000002</v>
      </c>
      <c r="E22" s="117" t="s">
        <v>447</v>
      </c>
      <c r="F22" s="118">
        <v>0.41123399999999999</v>
      </c>
      <c r="H22" s="117" t="s">
        <v>464</v>
      </c>
      <c r="I22" s="118">
        <v>0.284831</v>
      </c>
      <c r="K22" s="117" t="s">
        <v>476</v>
      </c>
      <c r="L22" s="118">
        <v>0.28783900000000001</v>
      </c>
    </row>
    <row r="23" spans="2:12" ht="19">
      <c r="B23" s="117" t="s">
        <v>155</v>
      </c>
      <c r="C23" s="118">
        <v>0.39643600000000001</v>
      </c>
      <c r="E23" s="117" t="s">
        <v>448</v>
      </c>
      <c r="F23" s="118">
        <v>0.40673399999999998</v>
      </c>
      <c r="H23" s="117" t="s">
        <v>465</v>
      </c>
      <c r="I23" s="118">
        <v>0.28441300000000003</v>
      </c>
      <c r="K23" s="117" t="s">
        <v>477</v>
      </c>
      <c r="L23" s="118">
        <v>0.287435</v>
      </c>
    </row>
    <row r="24" spans="2:12" ht="19">
      <c r="B24" s="117" t="s">
        <v>440</v>
      </c>
      <c r="C24" s="118">
        <v>0.39581</v>
      </c>
      <c r="E24" s="117" t="s">
        <v>449</v>
      </c>
      <c r="F24" s="118">
        <v>0.40476699999999999</v>
      </c>
      <c r="H24" s="117" t="s">
        <v>466</v>
      </c>
      <c r="I24" s="118">
        <v>0.28379500000000002</v>
      </c>
      <c r="K24" s="117" t="s">
        <v>478</v>
      </c>
      <c r="L24" s="118">
        <v>0.28734399999999999</v>
      </c>
    </row>
    <row r="25" spans="2:12" ht="19">
      <c r="B25" s="117" t="s">
        <v>252</v>
      </c>
      <c r="C25" s="118">
        <v>0.39579900000000001</v>
      </c>
      <c r="E25" s="117" t="s">
        <v>450</v>
      </c>
      <c r="F25" s="118">
        <v>0.40464099999999997</v>
      </c>
      <c r="H25" s="117" t="s">
        <v>157</v>
      </c>
      <c r="I25" s="118">
        <v>0.28358499999999998</v>
      </c>
      <c r="K25" s="117" t="s">
        <v>441</v>
      </c>
      <c r="L25" s="118">
        <v>0.28698099999999999</v>
      </c>
    </row>
    <row r="26" spans="2:12" ht="20" thickBot="1">
      <c r="B26" s="119" t="s">
        <v>150</v>
      </c>
      <c r="C26" s="120">
        <v>0.39491300000000001</v>
      </c>
      <c r="E26" s="119" t="s">
        <v>451</v>
      </c>
      <c r="F26" s="120">
        <v>0.404559</v>
      </c>
      <c r="H26" s="119" t="s">
        <v>467</v>
      </c>
      <c r="I26" s="120">
        <v>0.28241699999999997</v>
      </c>
      <c r="K26" s="119" t="s">
        <v>479</v>
      </c>
      <c r="L26" s="120">
        <v>0.28639100000000001</v>
      </c>
    </row>
    <row r="28" spans="2:12" ht="17" thickBot="1"/>
    <row r="29" spans="2:12" ht="29" customHeight="1">
      <c r="B29" s="145" t="s">
        <v>380</v>
      </c>
      <c r="C29" s="145"/>
      <c r="D29" s="122"/>
      <c r="E29" s="145" t="s">
        <v>381</v>
      </c>
      <c r="F29" s="145"/>
      <c r="H29" s="145" t="s">
        <v>380</v>
      </c>
      <c r="I29" s="145"/>
      <c r="J29" s="122"/>
      <c r="K29" s="145" t="s">
        <v>381</v>
      </c>
      <c r="L29" s="145"/>
    </row>
    <row r="30" spans="2:12" ht="19">
      <c r="B30" s="124" t="s">
        <v>382</v>
      </c>
      <c r="C30" s="124" t="s">
        <v>383</v>
      </c>
      <c r="D30" s="116"/>
      <c r="E30" s="124" t="s">
        <v>382</v>
      </c>
      <c r="F30" s="124" t="s">
        <v>383</v>
      </c>
      <c r="H30" s="124" t="s">
        <v>382</v>
      </c>
      <c r="I30" s="124" t="s">
        <v>383</v>
      </c>
      <c r="J30" s="116"/>
      <c r="K30" s="124" t="s">
        <v>382</v>
      </c>
      <c r="L30" s="124" t="s">
        <v>383</v>
      </c>
    </row>
    <row r="31" spans="2:12" ht="19">
      <c r="B31" s="117" t="s">
        <v>158</v>
      </c>
      <c r="C31" s="118">
        <v>5.2063999999999999E-2</v>
      </c>
      <c r="E31" s="117" t="s">
        <v>370</v>
      </c>
      <c r="F31" s="118">
        <v>0.10677200000000001</v>
      </c>
      <c r="H31" s="117" t="s">
        <v>265</v>
      </c>
      <c r="I31" s="118">
        <v>4.3149E-2</v>
      </c>
      <c r="K31" s="117" t="s">
        <v>370</v>
      </c>
      <c r="L31" s="118">
        <v>6.9219000000000003E-2</v>
      </c>
    </row>
    <row r="32" spans="2:12" ht="19">
      <c r="B32" s="117" t="s">
        <v>154</v>
      </c>
      <c r="C32" s="118">
        <v>5.1285999999999998E-2</v>
      </c>
      <c r="E32" s="117" t="s">
        <v>355</v>
      </c>
      <c r="F32" s="118">
        <v>9.3247999999999998E-2</v>
      </c>
      <c r="H32" s="117" t="s">
        <v>158</v>
      </c>
      <c r="I32" s="118">
        <v>3.8882E-2</v>
      </c>
      <c r="K32" s="117" t="s">
        <v>355</v>
      </c>
      <c r="L32" s="118">
        <v>6.0109000000000003E-2</v>
      </c>
    </row>
    <row r="33" spans="2:12" ht="19">
      <c r="B33" s="117" t="s">
        <v>168</v>
      </c>
      <c r="C33" s="118">
        <v>4.5192999999999997E-2</v>
      </c>
      <c r="E33" s="117" t="s">
        <v>356</v>
      </c>
      <c r="F33" s="118">
        <v>9.0326000000000004E-2</v>
      </c>
      <c r="H33" s="117" t="s">
        <v>154</v>
      </c>
      <c r="I33" s="118">
        <v>3.7548999999999999E-2</v>
      </c>
      <c r="K33" s="117" t="s">
        <v>110</v>
      </c>
      <c r="L33" s="118">
        <v>5.6788999999999999E-2</v>
      </c>
    </row>
    <row r="34" spans="2:12" ht="19">
      <c r="B34" s="117" t="s">
        <v>346</v>
      </c>
      <c r="C34" s="118">
        <v>4.3628E-2</v>
      </c>
      <c r="E34" s="117" t="s">
        <v>112</v>
      </c>
      <c r="F34" s="118">
        <v>8.1036999999999998E-2</v>
      </c>
      <c r="H34" s="117" t="s">
        <v>337</v>
      </c>
      <c r="I34" s="118">
        <v>3.5733000000000001E-2</v>
      </c>
      <c r="K34" s="117" t="s">
        <v>112</v>
      </c>
      <c r="L34" s="118">
        <v>5.2399000000000001E-2</v>
      </c>
    </row>
    <row r="35" spans="2:12" ht="19">
      <c r="B35" s="117" t="s">
        <v>344</v>
      </c>
      <c r="C35" s="118">
        <v>4.1949E-2</v>
      </c>
      <c r="E35" s="117" t="s">
        <v>362</v>
      </c>
      <c r="F35" s="118">
        <v>7.7996999999999997E-2</v>
      </c>
      <c r="H35" s="117" t="s">
        <v>168</v>
      </c>
      <c r="I35" s="118">
        <v>3.4514999999999997E-2</v>
      </c>
      <c r="K35" s="117" t="s">
        <v>116</v>
      </c>
      <c r="L35" s="118">
        <v>4.2782000000000001E-2</v>
      </c>
    </row>
    <row r="36" spans="2:12" ht="19">
      <c r="B36" s="117" t="s">
        <v>452</v>
      </c>
      <c r="C36" s="118">
        <v>4.1287999999999998E-2</v>
      </c>
      <c r="E36" s="117" t="s">
        <v>116</v>
      </c>
      <c r="F36" s="118">
        <v>6.7334000000000005E-2</v>
      </c>
      <c r="H36" s="117" t="s">
        <v>480</v>
      </c>
      <c r="I36" s="118">
        <v>3.3202000000000002E-2</v>
      </c>
      <c r="K36" s="117" t="s">
        <v>371</v>
      </c>
      <c r="L36" s="118">
        <v>4.1480999999999997E-2</v>
      </c>
    </row>
    <row r="37" spans="2:12" ht="19">
      <c r="B37" s="117" t="s">
        <v>343</v>
      </c>
      <c r="C37" s="118">
        <v>4.0716000000000002E-2</v>
      </c>
      <c r="E37" s="117" t="s">
        <v>371</v>
      </c>
      <c r="F37" s="118">
        <v>6.4614000000000005E-2</v>
      </c>
      <c r="H37" s="117" t="s">
        <v>346</v>
      </c>
      <c r="I37" s="118">
        <v>3.2349000000000003E-2</v>
      </c>
      <c r="K37" s="117" t="s">
        <v>258</v>
      </c>
      <c r="L37" s="118">
        <v>3.9822999999999997E-2</v>
      </c>
    </row>
    <row r="38" spans="2:12" ht="19">
      <c r="B38" s="117" t="s">
        <v>157</v>
      </c>
      <c r="C38" s="118">
        <v>3.9946000000000002E-2</v>
      </c>
      <c r="E38" s="117" t="s">
        <v>258</v>
      </c>
      <c r="F38" s="118">
        <v>6.3328999999999996E-2</v>
      </c>
      <c r="H38" s="117" t="s">
        <v>343</v>
      </c>
      <c r="I38" s="118">
        <v>3.2263E-2</v>
      </c>
      <c r="K38" s="117" t="s">
        <v>357</v>
      </c>
      <c r="L38" s="118">
        <v>3.7207999999999998E-2</v>
      </c>
    </row>
    <row r="39" spans="2:12" ht="19">
      <c r="B39" s="117" t="s">
        <v>342</v>
      </c>
      <c r="C39" s="118">
        <v>3.9629999999999999E-2</v>
      </c>
      <c r="E39" s="117" t="s">
        <v>113</v>
      </c>
      <c r="F39" s="118">
        <v>6.0908999999999998E-2</v>
      </c>
      <c r="H39" s="117" t="s">
        <v>452</v>
      </c>
      <c r="I39" s="118">
        <v>3.2100999999999998E-2</v>
      </c>
      <c r="K39" s="117" t="s">
        <v>481</v>
      </c>
      <c r="L39" s="118">
        <v>3.6126999999999999E-2</v>
      </c>
    </row>
    <row r="40" spans="2:12" ht="19">
      <c r="B40" s="117" t="s">
        <v>453</v>
      </c>
      <c r="C40" s="118">
        <v>3.7855E-2</v>
      </c>
      <c r="E40" s="117" t="s">
        <v>363</v>
      </c>
      <c r="F40" s="118">
        <v>6.0382999999999999E-2</v>
      </c>
      <c r="H40" s="117" t="s">
        <v>344</v>
      </c>
      <c r="I40" s="118">
        <v>3.1690000000000003E-2</v>
      </c>
      <c r="K40" s="117" t="s">
        <v>118</v>
      </c>
      <c r="L40" s="118">
        <v>3.5588000000000002E-2</v>
      </c>
    </row>
    <row r="41" spans="2:12" ht="19">
      <c r="B41" s="117" t="s">
        <v>350</v>
      </c>
      <c r="C41" s="118">
        <v>3.7451999999999999E-2</v>
      </c>
      <c r="E41" s="117" t="s">
        <v>368</v>
      </c>
      <c r="F41" s="118">
        <v>5.9339000000000003E-2</v>
      </c>
      <c r="H41" s="117" t="s">
        <v>147</v>
      </c>
      <c r="I41" s="118">
        <v>3.143E-2</v>
      </c>
      <c r="K41" s="117" t="s">
        <v>134</v>
      </c>
      <c r="L41" s="118">
        <v>3.4084000000000003E-2</v>
      </c>
    </row>
    <row r="42" spans="2:12" ht="19">
      <c r="B42" s="117" t="s">
        <v>348</v>
      </c>
      <c r="C42" s="118">
        <v>3.7263999999999999E-2</v>
      </c>
      <c r="E42" s="117" t="s">
        <v>357</v>
      </c>
      <c r="F42" s="118">
        <v>5.9322E-2</v>
      </c>
      <c r="H42" s="117" t="s">
        <v>342</v>
      </c>
      <c r="I42" s="118">
        <v>3.0764E-2</v>
      </c>
      <c r="K42" s="117" t="s">
        <v>207</v>
      </c>
      <c r="L42" s="118">
        <v>3.3508000000000003E-2</v>
      </c>
    </row>
    <row r="43" spans="2:12" ht="19">
      <c r="B43" s="117" t="s">
        <v>454</v>
      </c>
      <c r="C43" s="118">
        <v>3.7154E-2</v>
      </c>
      <c r="E43" s="117" t="s">
        <v>118</v>
      </c>
      <c r="F43" s="118">
        <v>5.8821999999999999E-2</v>
      </c>
      <c r="H43" s="117" t="s">
        <v>453</v>
      </c>
      <c r="I43" s="118">
        <v>2.8804E-2</v>
      </c>
      <c r="K43" s="117" t="s">
        <v>369</v>
      </c>
      <c r="L43" s="118">
        <v>3.3404000000000003E-2</v>
      </c>
    </row>
    <row r="44" spans="2:12" ht="19">
      <c r="B44" s="117" t="s">
        <v>351</v>
      </c>
      <c r="C44" s="118">
        <v>3.6533999999999997E-2</v>
      </c>
      <c r="E44" s="117" t="s">
        <v>131</v>
      </c>
      <c r="F44" s="118">
        <v>5.5777E-2</v>
      </c>
      <c r="H44" s="117" t="s">
        <v>351</v>
      </c>
      <c r="I44" s="118">
        <v>2.8409E-2</v>
      </c>
      <c r="K44" s="117" t="s">
        <v>131</v>
      </c>
      <c r="L44" s="118">
        <v>3.3208000000000001E-2</v>
      </c>
    </row>
    <row r="45" spans="2:12" ht="19">
      <c r="B45" s="117" t="s">
        <v>349</v>
      </c>
      <c r="C45" s="118">
        <v>3.6315E-2</v>
      </c>
      <c r="E45" s="117" t="s">
        <v>207</v>
      </c>
      <c r="F45" s="118">
        <v>5.4710000000000002E-2</v>
      </c>
      <c r="H45" s="117" t="s">
        <v>455</v>
      </c>
      <c r="I45" s="118">
        <v>2.7904000000000002E-2</v>
      </c>
      <c r="K45" s="117" t="s">
        <v>123</v>
      </c>
      <c r="L45" s="118">
        <v>3.3189999999999997E-2</v>
      </c>
    </row>
    <row r="46" spans="2:12" ht="19">
      <c r="B46" s="117" t="s">
        <v>455</v>
      </c>
      <c r="C46" s="118">
        <v>3.6045000000000001E-2</v>
      </c>
      <c r="E46" s="117" t="s">
        <v>134</v>
      </c>
      <c r="F46" s="118">
        <v>5.4142999999999997E-2</v>
      </c>
      <c r="H46" s="117" t="s">
        <v>454</v>
      </c>
      <c r="I46" s="118">
        <v>2.7791E-2</v>
      </c>
      <c r="K46" s="117" t="s">
        <v>361</v>
      </c>
      <c r="L46" s="118">
        <v>3.3120999999999998E-2</v>
      </c>
    </row>
    <row r="47" spans="2:12" ht="19">
      <c r="B47" s="117" t="s">
        <v>228</v>
      </c>
      <c r="C47" s="118">
        <v>3.5319999999999997E-2</v>
      </c>
      <c r="E47" s="117" t="s">
        <v>123</v>
      </c>
      <c r="F47" s="118">
        <v>5.3369E-2</v>
      </c>
      <c r="H47" s="117" t="s">
        <v>349</v>
      </c>
      <c r="I47" s="118">
        <v>2.7789000000000001E-2</v>
      </c>
      <c r="K47" s="117" t="s">
        <v>365</v>
      </c>
      <c r="L47" s="118">
        <v>3.2113000000000003E-2</v>
      </c>
    </row>
    <row r="48" spans="2:12" ht="19">
      <c r="B48" s="117" t="s">
        <v>425</v>
      </c>
      <c r="C48" s="118">
        <v>3.4716999999999998E-2</v>
      </c>
      <c r="E48" s="117" t="s">
        <v>369</v>
      </c>
      <c r="F48" s="118">
        <v>5.3194999999999999E-2</v>
      </c>
      <c r="H48" s="117" t="s">
        <v>425</v>
      </c>
      <c r="I48" s="118">
        <v>2.7730000000000001E-2</v>
      </c>
      <c r="K48" s="117" t="s">
        <v>366</v>
      </c>
      <c r="L48" s="118">
        <v>3.0644000000000001E-2</v>
      </c>
    </row>
    <row r="49" spans="2:12" ht="19">
      <c r="B49" s="117" t="s">
        <v>185</v>
      </c>
      <c r="C49" s="118">
        <v>3.3335999999999998E-2</v>
      </c>
      <c r="E49" s="117" t="s">
        <v>365</v>
      </c>
      <c r="F49" s="118">
        <v>5.1236999999999998E-2</v>
      </c>
      <c r="H49" s="117" t="s">
        <v>395</v>
      </c>
      <c r="I49" s="118">
        <v>2.7479E-2</v>
      </c>
      <c r="K49" s="117" t="s">
        <v>191</v>
      </c>
      <c r="L49" s="118">
        <v>2.9812999999999999E-2</v>
      </c>
    </row>
    <row r="50" spans="2:12" ht="20" thickBot="1">
      <c r="B50" s="119" t="s">
        <v>456</v>
      </c>
      <c r="C50" s="120">
        <v>3.1447999999999997E-2</v>
      </c>
      <c r="E50" s="119" t="s">
        <v>364</v>
      </c>
      <c r="F50" s="120">
        <v>5.1196999999999999E-2</v>
      </c>
      <c r="H50" s="119" t="s">
        <v>228</v>
      </c>
      <c r="I50" s="120">
        <v>2.7004E-2</v>
      </c>
      <c r="K50" s="119" t="s">
        <v>372</v>
      </c>
      <c r="L50" s="120">
        <v>2.9732999999999999E-2</v>
      </c>
    </row>
  </sheetData>
  <mergeCells count="8">
    <mergeCell ref="K5:L5"/>
    <mergeCell ref="H29:I29"/>
    <mergeCell ref="K29:L29"/>
    <mergeCell ref="B5:C5"/>
    <mergeCell ref="E5:F5"/>
    <mergeCell ref="B29:C29"/>
    <mergeCell ref="E29:F29"/>
    <mergeCell ref="H5:I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summary</vt:lpstr>
      <vt:lpstr>santion percentage by specialty</vt:lpstr>
      <vt:lpstr>Analysis</vt:lpstr>
      <vt:lpstr>emotion score 1</vt:lpstr>
      <vt:lpstr>emotion score 2</vt:lpstr>
      <vt:lpstr>final table of emotion score</vt:lpstr>
      <vt:lpstr>Sheet5</vt:lpstr>
      <vt:lpstr>Sheet6</vt:lpstr>
      <vt:lpstr>Sheet1</vt:lpstr>
      <vt:lpstr>Sheet2</vt:lpstr>
      <vt:lpstr>Sheet3</vt:lpstr>
      <vt:lpstr>Sheet4</vt:lpstr>
      <vt:lpstr>Sheet7</vt:lpstr>
      <vt:lpstr>doc2vec_gender</vt:lpstr>
      <vt:lpstr>doc2vec_sanction</vt:lpstr>
      <vt:lpstr>doc2vec_gender&amp;sanction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2020-03-19T20:48:10Z</dcterms:created>
  <dcterms:modified xsi:type="dcterms:W3CDTF">2020-04-25T15:09:33Z</dcterms:modified>
</cp:coreProperties>
</file>